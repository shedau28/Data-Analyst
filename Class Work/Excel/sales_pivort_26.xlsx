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TOPS DA\Class Work\Excel\"/>
    </mc:Choice>
  </mc:AlternateContent>
  <xr:revisionPtr revIDLastSave="0" documentId="13_ncr:1_{993B466B-E5E9-41A0-84D1-1CD56695BE99}" xr6:coauthVersionLast="47" xr6:coauthVersionMax="47" xr10:uidLastSave="{00000000-0000-0000-0000-000000000000}"/>
  <bookViews>
    <workbookView xWindow="-120" yWindow="-120" windowWidth="29040" windowHeight="15720" activeTab="5" xr2:uid="{7E5669FC-4505-4B32-9B2D-82EAEC5DACF9}"/>
  </bookViews>
  <sheets>
    <sheet name="Sheet3" sheetId="3" r:id="rId1"/>
    <sheet name="Sheet4" sheetId="4" r:id="rId2"/>
    <sheet name="sales_data" sheetId="1" r:id="rId3"/>
    <sheet name="DATA" sheetId="7" r:id="rId4"/>
    <sheet name="Pivot" sheetId="8" r:id="rId5"/>
    <sheet name="Sheet7" sheetId="9" r:id="rId6"/>
    <sheet name="Sheet1" sheetId="5" r:id="rId7"/>
  </sheets>
  <definedNames>
    <definedName name="Slicer_Product">#N/A</definedName>
    <definedName name="Slicer_Region">#N/A</definedName>
    <definedName name="Slicer_Salesperson">#N/A</definedName>
    <definedName name="Slicer_Unit_Price">#N/A</definedName>
  </definedNames>
  <calcPr calcId="191029"/>
  <pivotCaches>
    <pivotCache cacheId="0" r:id="rId8"/>
    <pivotCache cacheId="12"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 i="5" l="1"/>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2" i="5"/>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2"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 i="1"/>
  <c r="J2" i="1"/>
</calcChain>
</file>

<file path=xl/sharedStrings.xml><?xml version="1.0" encoding="utf-8"?>
<sst xmlns="http://schemas.openxmlformats.org/spreadsheetml/2006/main" count="339" uniqueCount="71">
  <si>
    <t>Order_ID</t>
  </si>
  <si>
    <t>Order_Date</t>
  </si>
  <si>
    <t>Region</t>
  </si>
  <si>
    <t>Salesperson</t>
  </si>
  <si>
    <t>Product</t>
  </si>
  <si>
    <t>Category</t>
  </si>
  <si>
    <t>Quantity</t>
  </si>
  <si>
    <t>Unit_Price</t>
  </si>
  <si>
    <t>Discount</t>
  </si>
  <si>
    <t>ORD001</t>
  </si>
  <si>
    <t>West</t>
  </si>
  <si>
    <t>Amit</t>
  </si>
  <si>
    <t>Laptop</t>
  </si>
  <si>
    <t>Electronics</t>
  </si>
  <si>
    <t>ORD002</t>
  </si>
  <si>
    <t>North</t>
  </si>
  <si>
    <t>Priya</t>
  </si>
  <si>
    <t>Mouse</t>
  </si>
  <si>
    <t>Accessories</t>
  </si>
  <si>
    <t>ORD003</t>
  </si>
  <si>
    <t>South</t>
  </si>
  <si>
    <t>Rahul</t>
  </si>
  <si>
    <t>Keyboard</t>
  </si>
  <si>
    <t>ORD004</t>
  </si>
  <si>
    <t>Neha</t>
  </si>
  <si>
    <t>Monitor</t>
  </si>
  <si>
    <t>ORD005</t>
  </si>
  <si>
    <t>ORD006</t>
  </si>
  <si>
    <t>ORD007</t>
  </si>
  <si>
    <t>East</t>
  </si>
  <si>
    <t>ORD008</t>
  </si>
  <si>
    <t>ORD009</t>
  </si>
  <si>
    <t>ORD010</t>
  </si>
  <si>
    <t>ORD011</t>
  </si>
  <si>
    <t>ORD012</t>
  </si>
  <si>
    <t>ORD013</t>
  </si>
  <si>
    <t>ORD014</t>
  </si>
  <si>
    <t>ORD015</t>
  </si>
  <si>
    <t>ORD016</t>
  </si>
  <si>
    <t>ORD017</t>
  </si>
  <si>
    <t>ORD018</t>
  </si>
  <si>
    <t>ORD019</t>
  </si>
  <si>
    <t>ORD020</t>
  </si>
  <si>
    <t>ORD021</t>
  </si>
  <si>
    <t>ORD022</t>
  </si>
  <si>
    <t>ORD023</t>
  </si>
  <si>
    <t>ORD024</t>
  </si>
  <si>
    <t>ORD025</t>
  </si>
  <si>
    <t>ORD026</t>
  </si>
  <si>
    <t>ORD027</t>
  </si>
  <si>
    <t>ORD028</t>
  </si>
  <si>
    <t>ORD029</t>
  </si>
  <si>
    <t>ORD030</t>
  </si>
  <si>
    <t>ORD031</t>
  </si>
  <si>
    <t>ORD032</t>
  </si>
  <si>
    <t>ORD033</t>
  </si>
  <si>
    <t>ORD034</t>
  </si>
  <si>
    <t>ORD035</t>
  </si>
  <si>
    <t>Row Labels</t>
  </si>
  <si>
    <t>Grand Total</t>
  </si>
  <si>
    <t>net_sales</t>
  </si>
  <si>
    <t>net_sales = (qty * price) * ((1-discount)/100)</t>
  </si>
  <si>
    <t>net_sales= Quantity  * Unit_Price * (1-(Discount)/100))</t>
  </si>
  <si>
    <t>Sum of NET_SALES_</t>
  </si>
  <si>
    <t>monthwisesale</t>
  </si>
  <si>
    <t>Sum of Quantity</t>
  </si>
  <si>
    <t>Total Quantity Sold By Product</t>
  </si>
  <si>
    <t>Total Qty sold by SalesPerson</t>
  </si>
  <si>
    <t>Column Labels</t>
  </si>
  <si>
    <t>Revenue</t>
  </si>
  <si>
    <t>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</si>
</sst>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b/>
      <sz val="11"/>
      <color theme="1"/>
      <name val="Aptos Narrow"/>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8">
    <xf numFmtId="0" fontId="0" fillId="0" borderId="0" xfId="0"/>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15" fontId="0" fillId="0" borderId="0" xfId="0" applyNumberFormat="1" applyAlignment="1">
      <alignment vertical="center" wrapText="1"/>
    </xf>
    <xf numFmtId="9" fontId="0" fillId="0" borderId="0" xfId="0" applyNumberFormat="1" applyAlignment="1">
      <alignment horizontal="right" vertical="center" wrapText="1"/>
    </xf>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0" fillId="0" borderId="0" xfId="0" applyNumberFormat="1"/>
    <xf numFmtId="0" fontId="1" fillId="2" borderId="1" xfId="0" applyFont="1" applyFill="1" applyBorder="1"/>
    <xf numFmtId="0" fontId="2" fillId="0" borderId="0" xfId="0" applyFont="1"/>
    <xf numFmtId="0" fontId="2" fillId="0" borderId="0" xfId="0" applyFont="1" applyAlignment="1">
      <alignment horizontal="left"/>
    </xf>
    <xf numFmtId="0" fontId="1" fillId="2" borderId="2" xfId="0" applyFont="1" applyFill="1" applyBorder="1" applyAlignment="1">
      <alignment horizontal="left"/>
    </xf>
    <xf numFmtId="0" fontId="1" fillId="2" borderId="2" xfId="0" applyNumberFormat="1" applyFont="1" applyFill="1" applyBorder="1"/>
    <xf numFmtId="0" fontId="2" fillId="0" borderId="0" xfId="0" applyFont="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[sales_pivort_26.xlsx]Sheet3!PivotTable2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Sheet3!$A$4:$A$7</c:f>
              <c:strCache>
                <c:ptCount val="3"/>
                <c:pt idx="0">
                  <c:v>Keyboard</c:v>
                </c:pt>
                <c:pt idx="1">
                  <c:v>Laptop</c:v>
                </c:pt>
                <c:pt idx="2">
                  <c:v>Monitor</c:v>
                </c:pt>
              </c:strCache>
            </c:strRef>
          </c:cat>
          <c:val>
            <c:numRef>
              <c:f>Sheet3!$B$4:$B$7</c:f>
              <c:numCache>
                <c:formatCode>0</c:formatCode>
                <c:ptCount val="3"/>
                <c:pt idx="0">
                  <c:v>95808</c:v>
                </c:pt>
                <c:pt idx="1">
                  <c:v>987525</c:v>
                </c:pt>
                <c:pt idx="2">
                  <c:v>1581624</c:v>
                </c:pt>
              </c:numCache>
            </c:numRef>
          </c:val>
          <c:extLst>
            <c:ext xmlns:c16="http://schemas.microsoft.com/office/drawing/2014/chart" uri="{C3380CC4-5D6E-409C-BE32-E72D297353CC}">
              <c16:uniqueId val="{00000000-F9EF-44A6-B786-1872B30A752E}"/>
            </c:ext>
          </c:extLst>
        </c:ser>
        <c:dLbls>
          <c:showLegendKey val="0"/>
          <c:showVal val="0"/>
          <c:showCatName val="0"/>
          <c:showSerName val="0"/>
          <c:showPercent val="0"/>
          <c:showBubbleSize val="0"/>
        </c:dLbls>
        <c:gapWidth val="219"/>
        <c:overlap val="-27"/>
        <c:axId val="304160"/>
        <c:axId val="10770704"/>
      </c:barChart>
      <c:catAx>
        <c:axId val="30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0704"/>
        <c:crosses val="autoZero"/>
        <c:auto val="1"/>
        <c:lblAlgn val="ctr"/>
        <c:lblOffset val="100"/>
        <c:noMultiLvlLbl val="0"/>
      </c:catAx>
      <c:valAx>
        <c:axId val="107707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501650</xdr:colOff>
      <xdr:row>0</xdr:row>
      <xdr:rowOff>120650</xdr:rowOff>
    </xdr:from>
    <xdr:to>
      <xdr:col>8</xdr:col>
      <xdr:colOff>196850</xdr:colOff>
      <xdr:row>15</xdr:row>
      <xdr:rowOff>101600</xdr:rowOff>
    </xdr:to>
    <xdr:graphicFrame macro="">
      <xdr:nvGraphicFramePr>
        <xdr:cNvPr id="2" name="Chart 1">
          <a:extLst>
            <a:ext uri="{FF2B5EF4-FFF2-40B4-BE49-F238E27FC236}">
              <a16:creationId xmlns:a16="http://schemas.microsoft.com/office/drawing/2014/main" id="{B8045AE4-AC05-436D-A570-A5EADF546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4</xdr:row>
      <xdr:rowOff>0</xdr:rowOff>
    </xdr:from>
    <xdr:to>
      <xdr:col>13</xdr:col>
      <xdr:colOff>0</xdr:colOff>
      <xdr:row>12</xdr:row>
      <xdr:rowOff>133350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0087FA5C-834B-4D20-8164-BB43DC9ED25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096000" y="736600"/>
              <a:ext cx="1828800" cy="1606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542925</xdr:colOff>
      <xdr:row>10</xdr:row>
      <xdr:rowOff>85725</xdr:rowOff>
    </xdr:from>
    <xdr:to>
      <xdr:col>8</xdr:col>
      <xdr:colOff>314325</xdr:colOff>
      <xdr:row>24</xdr:row>
      <xdr:rowOff>76200</xdr:rowOff>
    </xdr:to>
    <mc:AlternateContent xmlns:mc="http://schemas.openxmlformats.org/markup-compatibility/2006">
      <mc:Choice xmlns:a14="http://schemas.microsoft.com/office/drawing/2010/main" Requires="a14">
        <xdr:graphicFrame macro="">
          <xdr:nvGraphicFramePr>
            <xdr:cNvPr id="2" name="Salesperson">
              <a:extLst>
                <a:ext uri="{FF2B5EF4-FFF2-40B4-BE49-F238E27FC236}">
                  <a16:creationId xmlns:a16="http://schemas.microsoft.com/office/drawing/2014/main" id="{99540E93-2E9F-4F11-84D3-A572CF23F888}"/>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5981700" y="18954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952500</xdr:colOff>
      <xdr:row>10</xdr:row>
      <xdr:rowOff>171450</xdr:rowOff>
    </xdr:from>
    <xdr:to>
      <xdr:col>4</xdr:col>
      <xdr:colOff>228600</xdr:colOff>
      <xdr:row>24</xdr:row>
      <xdr:rowOff>161925</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7ABFF803-0E7D-4780-9C80-E299D9A96ED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152775" y="1981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400050</xdr:colOff>
      <xdr:row>7</xdr:row>
      <xdr:rowOff>133350</xdr:rowOff>
    </xdr:from>
    <xdr:to>
      <xdr:col>14</xdr:col>
      <xdr:colOff>171450</xdr:colOff>
      <xdr:row>21</xdr:row>
      <xdr:rowOff>123825</xdr:rowOff>
    </xdr:to>
    <mc:AlternateContent xmlns:mc="http://schemas.openxmlformats.org/markup-compatibility/2006">
      <mc:Choice xmlns:a14="http://schemas.microsoft.com/office/drawing/2010/main" Requires="a14">
        <xdr:graphicFrame macro="">
          <xdr:nvGraphicFramePr>
            <xdr:cNvPr id="4" name="Unit_Price">
              <a:extLst>
                <a:ext uri="{FF2B5EF4-FFF2-40B4-BE49-F238E27FC236}">
                  <a16:creationId xmlns:a16="http://schemas.microsoft.com/office/drawing/2014/main" id="{F2F437D9-5F73-4390-8529-EAD4391B7811}"/>
                </a:ext>
              </a:extLst>
            </xdr:cNvPr>
            <xdr:cNvGraphicFramePr/>
          </xdr:nvGraphicFramePr>
          <xdr:xfrm>
            <a:off x="0" y="0"/>
            <a:ext cx="0" cy="0"/>
          </xdr:xfrm>
          <a:graphic>
            <a:graphicData uri="http://schemas.microsoft.com/office/drawing/2010/slicer">
              <sle:slicer xmlns:sle="http://schemas.microsoft.com/office/drawing/2010/slicer" name="Unit_Price"/>
            </a:graphicData>
          </a:graphic>
        </xdr:graphicFrame>
      </mc:Choice>
      <mc:Fallback>
        <xdr:sp macro="" textlink="">
          <xdr:nvSpPr>
            <xdr:cNvPr id="0" name=""/>
            <xdr:cNvSpPr>
              <a:spLocks noTextEdit="1"/>
            </xdr:cNvSpPr>
          </xdr:nvSpPr>
          <xdr:spPr>
            <a:xfrm>
              <a:off x="9953625" y="14001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0.431241435188" createdVersion="8" refreshedVersion="8" minRefreshableVersion="3" recordCount="35" xr:uid="{92CB8D92-8C7D-468D-BF18-5835354E0DEF}">
  <cacheSource type="worksheet">
    <worksheetSource ref="A1:I36" sheet="sales_data"/>
  </cacheSource>
  <cacheFields count="12">
    <cacheField name="Order_ID" numFmtId="0">
      <sharedItems/>
    </cacheField>
    <cacheField name="Order_Date" numFmtId="15">
      <sharedItems containsSemiMixedTypes="0" containsNonDate="0" containsDate="1" containsString="0" minDate="2025-01-05T00:00:00" maxDate="2025-12-28T00:00:00"/>
    </cacheField>
    <cacheField name="Region" numFmtId="0">
      <sharedItems count="4">
        <s v="West"/>
        <s v="North"/>
        <s v="South"/>
        <s v="East"/>
      </sharedItems>
    </cacheField>
    <cacheField name="Salesperson" numFmtId="0">
      <sharedItems/>
    </cacheField>
    <cacheField name="Product" numFmtId="0">
      <sharedItems count="4">
        <s v="Laptop"/>
        <s v="Mouse"/>
        <s v="Keyboard"/>
        <s v="Monitor"/>
      </sharedItems>
    </cacheField>
    <cacheField name="Category" numFmtId="0">
      <sharedItems/>
    </cacheField>
    <cacheField name="Quantity" numFmtId="0">
      <sharedItems containsSemiMixedTypes="0" containsString="0" containsNumber="1" containsInteger="1" minValue="2" maxValue="45"/>
    </cacheField>
    <cacheField name="Unit_Price" numFmtId="0">
      <sharedItems containsSemiMixedTypes="0" containsString="0" containsNumber="1" containsInteger="1" minValue="800" maxValue="55000"/>
    </cacheField>
    <cacheField name="Discount" numFmtId="9">
      <sharedItems containsSemiMixedTypes="0" containsString="0" containsNumber="1" minValue="0" maxValue="0.1"/>
    </cacheField>
    <cacheField name="net_sales" numFmtId="0" formula="Quantity*Unit_Price* (1-(Discount/100))" databaseField="0"/>
    <cacheField name="NET_s" numFmtId="0" formula="Quantity*Unit_Price* (1-(Discount)/100)" databaseField="0"/>
    <cacheField name="NET_SALES_" numFmtId="0" formula="Quantity*Unit_Price* (1 -Discount/100)" databaseField="0"/>
  </cacheFields>
  <extLst>
    <ext xmlns:x14="http://schemas.microsoft.com/office/spreadsheetml/2009/9/main" uri="{725AE2AE-9491-48be-B2B4-4EB974FC3084}">
      <x14:pivotCacheDefinition pivotCacheId="199281359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yog" refreshedDate="46272.906613078703" createdVersion="7" refreshedVersion="7" minRefreshableVersion="3" recordCount="35" xr:uid="{D146F5CC-2A04-41CF-8EA4-A568725DD110}">
  <cacheSource type="worksheet">
    <worksheetSource ref="A1:F36" sheet="Sheet1"/>
  </cacheSource>
  <cacheFields count="8">
    <cacheField name="Salesperson" numFmtId="0">
      <sharedItems count="4">
        <s v="Amit"/>
        <s v="Priya"/>
        <s v="Rahul"/>
        <s v="Neha"/>
      </sharedItems>
    </cacheField>
    <cacheField name="Product" numFmtId="0">
      <sharedItems count="4">
        <s v="Laptop"/>
        <s v="Mouse"/>
        <s v="Keyboard"/>
        <s v="Monitor"/>
      </sharedItems>
    </cacheField>
    <cacheField name="Category" numFmtId="0">
      <sharedItems count="2">
        <s v="Electronics"/>
        <s v="Accessories"/>
      </sharedItems>
    </cacheField>
    <cacheField name="Quantity" numFmtId="0">
      <sharedItems containsSemiMixedTypes="0" containsString="0" containsNumber="1" containsInteger="1" minValue="2" maxValue="45"/>
    </cacheField>
    <cacheField name="Unit_Price" numFmtId="0">
      <sharedItems containsSemiMixedTypes="0" containsString="0" containsNumber="1" containsInteger="1" minValue="800" maxValue="55000" count="4">
        <n v="55000"/>
        <n v="800"/>
        <n v="1500"/>
        <n v="18000"/>
      </sharedItems>
    </cacheField>
    <cacheField name="Discount" numFmtId="9">
      <sharedItems containsSemiMixedTypes="0" containsString="0" containsNumber="1" minValue="0" maxValue="0.1"/>
    </cacheField>
    <cacheField name="Revenue" numFmtId="0" formula="Quantity *Unit_Price" databaseField="0"/>
    <cacheField name="Discounted Rev" numFmtId="0" formula="Unit_Price *Quantity *(1-Discount )" databaseField="0"/>
  </cacheFields>
  <extLst>
    <ext xmlns:x14="http://schemas.microsoft.com/office/spreadsheetml/2009/9/main" uri="{725AE2AE-9491-48be-B2B4-4EB974FC3084}">
      <x14:pivotCacheDefinition pivotCacheId="17802903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s v="ORD001"/>
    <d v="2025-01-05T00:00:00"/>
    <x v="0"/>
    <s v="Amit"/>
    <x v="0"/>
    <s v="Electronics"/>
    <n v="2"/>
    <n v="55000"/>
    <n v="0.05"/>
  </r>
  <r>
    <s v="ORD002"/>
    <d v="2025-01-12T00:00:00"/>
    <x v="1"/>
    <s v="Priya"/>
    <x v="1"/>
    <s v="Accessories"/>
    <n v="10"/>
    <n v="800"/>
    <n v="0"/>
  </r>
  <r>
    <s v="ORD003"/>
    <d v="2025-01-20T00:00:00"/>
    <x v="2"/>
    <s v="Rahul"/>
    <x v="2"/>
    <s v="Accessories"/>
    <n v="8"/>
    <n v="1500"/>
    <n v="0.1"/>
  </r>
  <r>
    <s v="ORD004"/>
    <d v="2025-02-03T00:00:00"/>
    <x v="0"/>
    <s v="Neha"/>
    <x v="3"/>
    <s v="Electronics"/>
    <n v="4"/>
    <n v="18000"/>
    <n v="0.05"/>
  </r>
  <r>
    <s v="ORD005"/>
    <d v="2025-02-15T00:00:00"/>
    <x v="1"/>
    <s v="Amit"/>
    <x v="0"/>
    <s v="Electronics"/>
    <n v="3"/>
    <n v="55000"/>
    <n v="0.08"/>
  </r>
  <r>
    <s v="ORD006"/>
    <d v="2025-02-25T00:00:00"/>
    <x v="2"/>
    <s v="Priya"/>
    <x v="1"/>
    <s v="Accessories"/>
    <n v="15"/>
    <n v="800"/>
    <n v="0.05"/>
  </r>
  <r>
    <s v="ORD007"/>
    <d v="2025-03-07T00:00:00"/>
    <x v="3"/>
    <s v="Rahul"/>
    <x v="2"/>
    <s v="Accessories"/>
    <n v="12"/>
    <n v="1500"/>
    <n v="0"/>
  </r>
  <r>
    <s v="ORD008"/>
    <d v="2025-03-18T00:00:00"/>
    <x v="0"/>
    <s v="Neha"/>
    <x v="0"/>
    <s v="Electronics"/>
    <n v="2"/>
    <n v="55000"/>
    <n v="0.1"/>
  </r>
  <r>
    <s v="ORD009"/>
    <d v="2025-03-29T00:00:00"/>
    <x v="1"/>
    <s v="Amit"/>
    <x v="3"/>
    <s v="Electronics"/>
    <n v="5"/>
    <n v="18000"/>
    <n v="0.05"/>
  </r>
  <r>
    <s v="ORD010"/>
    <d v="2025-04-06T00:00:00"/>
    <x v="2"/>
    <s v="Priya"/>
    <x v="0"/>
    <s v="Electronics"/>
    <n v="4"/>
    <n v="55000"/>
    <n v="0.05"/>
  </r>
  <r>
    <s v="ORD011"/>
    <d v="2025-04-17T00:00:00"/>
    <x v="3"/>
    <s v="Rahul"/>
    <x v="1"/>
    <s v="Accessories"/>
    <n v="20"/>
    <n v="800"/>
    <n v="0"/>
  </r>
  <r>
    <s v="ORD012"/>
    <d v="2025-04-28T00:00:00"/>
    <x v="0"/>
    <s v="Neha"/>
    <x v="2"/>
    <s v="Accessories"/>
    <n v="10"/>
    <n v="1500"/>
    <n v="0.1"/>
  </r>
  <r>
    <s v="ORD013"/>
    <d v="2025-05-08T00:00:00"/>
    <x v="1"/>
    <s v="Amit"/>
    <x v="3"/>
    <s v="Electronics"/>
    <n v="6"/>
    <n v="18000"/>
    <n v="0.05"/>
  </r>
  <r>
    <s v="ORD014"/>
    <d v="2025-05-19T00:00:00"/>
    <x v="2"/>
    <s v="Priya"/>
    <x v="0"/>
    <s v="Electronics"/>
    <n v="2"/>
    <n v="55000"/>
    <n v="0.08"/>
  </r>
  <r>
    <s v="ORD015"/>
    <d v="2025-05-30T00:00:00"/>
    <x v="3"/>
    <s v="Rahul"/>
    <x v="1"/>
    <s v="Accessories"/>
    <n v="25"/>
    <n v="800"/>
    <n v="0.05"/>
  </r>
  <r>
    <s v="ORD016"/>
    <d v="2025-06-09T00:00:00"/>
    <x v="0"/>
    <s v="Neha"/>
    <x v="3"/>
    <s v="Electronics"/>
    <n v="5"/>
    <n v="18000"/>
    <n v="0"/>
  </r>
  <r>
    <s v="ORD017"/>
    <d v="2025-06-21T00:00:00"/>
    <x v="1"/>
    <s v="Amit"/>
    <x v="2"/>
    <s v="Accessories"/>
    <n v="15"/>
    <n v="1500"/>
    <n v="0.1"/>
  </r>
  <r>
    <s v="ORD018"/>
    <d v="2025-06-29T00:00:00"/>
    <x v="2"/>
    <s v="Priya"/>
    <x v="0"/>
    <s v="Electronics"/>
    <n v="3"/>
    <n v="55000"/>
    <n v="0.05"/>
  </r>
  <r>
    <s v="ORD019"/>
    <d v="2025-07-07T00:00:00"/>
    <x v="3"/>
    <s v="Rahul"/>
    <x v="3"/>
    <s v="Electronics"/>
    <n v="4"/>
    <n v="18000"/>
    <n v="0.05"/>
  </r>
  <r>
    <s v="ORD020"/>
    <d v="2025-07-18T00:00:00"/>
    <x v="0"/>
    <s v="Neha"/>
    <x v="0"/>
    <s v="Electronics"/>
    <n v="2"/>
    <n v="55000"/>
    <n v="0.1"/>
  </r>
  <r>
    <s v="ORD021"/>
    <d v="2025-07-26T00:00:00"/>
    <x v="1"/>
    <s v="Amit"/>
    <x v="1"/>
    <s v="Accessories"/>
    <n v="30"/>
    <n v="800"/>
    <n v="0"/>
  </r>
  <r>
    <s v="ORD022"/>
    <d v="2025-08-05T00:00:00"/>
    <x v="2"/>
    <s v="Priya"/>
    <x v="2"/>
    <s v="Accessories"/>
    <n v="18"/>
    <n v="1500"/>
    <n v="0.05"/>
  </r>
  <r>
    <s v="ORD023"/>
    <d v="2025-08-16T00:00:00"/>
    <x v="3"/>
    <s v="Rahul"/>
    <x v="0"/>
    <s v="Electronics"/>
    <n v="3"/>
    <n v="55000"/>
    <n v="0.08"/>
  </r>
  <r>
    <s v="ORD024"/>
    <d v="2025-08-27T00:00:00"/>
    <x v="0"/>
    <s v="Neha"/>
    <x v="3"/>
    <s v="Electronics"/>
    <n v="6"/>
    <n v="18000"/>
    <n v="0.05"/>
  </r>
  <r>
    <s v="ORD025"/>
    <d v="2025-09-08T00:00:00"/>
    <x v="1"/>
    <s v="Amit"/>
    <x v="0"/>
    <s v="Electronics"/>
    <n v="4"/>
    <n v="55000"/>
    <n v="0.1"/>
  </r>
  <r>
    <s v="ORD026"/>
    <d v="2025-09-19T00:00:00"/>
    <x v="2"/>
    <s v="Priya"/>
    <x v="1"/>
    <s v="Accessories"/>
    <n v="35"/>
    <n v="800"/>
    <n v="0.05"/>
  </r>
  <r>
    <s v="ORD027"/>
    <d v="2025-09-30T00:00:00"/>
    <x v="3"/>
    <s v="Rahul"/>
    <x v="2"/>
    <s v="Accessories"/>
    <n v="20"/>
    <n v="1500"/>
    <n v="0"/>
  </r>
  <r>
    <s v="ORD028"/>
    <d v="2025-10-10T00:00:00"/>
    <x v="0"/>
    <s v="Neha"/>
    <x v="3"/>
    <s v="Electronics"/>
    <n v="7"/>
    <n v="18000"/>
    <n v="0.05"/>
  </r>
  <r>
    <s v="ORD029"/>
    <d v="2025-10-21T00:00:00"/>
    <x v="1"/>
    <s v="Amit"/>
    <x v="0"/>
    <s v="Electronics"/>
    <n v="3"/>
    <n v="55000"/>
    <n v="0.08"/>
  </r>
  <r>
    <s v="ORD030"/>
    <d v="2025-11-02T00:00:00"/>
    <x v="2"/>
    <s v="Priya"/>
    <x v="1"/>
    <s v="Accessories"/>
    <n v="40"/>
    <n v="800"/>
    <n v="0"/>
  </r>
  <r>
    <s v="ORD031"/>
    <d v="2025-11-14T00:00:00"/>
    <x v="3"/>
    <s v="Rahul"/>
    <x v="0"/>
    <s v="Electronics"/>
    <n v="2"/>
    <n v="55000"/>
    <n v="0.05"/>
  </r>
  <r>
    <s v="ORD032"/>
    <d v="2025-11-25T00:00:00"/>
    <x v="0"/>
    <s v="Neha"/>
    <x v="2"/>
    <s v="Accessories"/>
    <n v="22"/>
    <n v="1500"/>
    <n v="0.1"/>
  </r>
  <r>
    <s v="ORD033"/>
    <d v="2025-12-05T00:00:00"/>
    <x v="1"/>
    <s v="Amit"/>
    <x v="3"/>
    <s v="Electronics"/>
    <n v="8"/>
    <n v="18000"/>
    <n v="0.05"/>
  </r>
  <r>
    <s v="ORD034"/>
    <d v="2025-12-16T00:00:00"/>
    <x v="2"/>
    <s v="Priya"/>
    <x v="0"/>
    <s v="Electronics"/>
    <n v="4"/>
    <n v="55000"/>
    <n v="0.08"/>
  </r>
  <r>
    <s v="ORD035"/>
    <d v="2025-12-27T00:00:00"/>
    <x v="3"/>
    <s v="Rahul"/>
    <x v="1"/>
    <s v="Accessories"/>
    <n v="45"/>
    <n v="800"/>
    <n v="0.0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x v="0"/>
    <x v="0"/>
    <x v="0"/>
    <n v="2"/>
    <x v="0"/>
    <n v="0.05"/>
  </r>
  <r>
    <x v="1"/>
    <x v="1"/>
    <x v="1"/>
    <n v="10"/>
    <x v="1"/>
    <n v="0"/>
  </r>
  <r>
    <x v="2"/>
    <x v="2"/>
    <x v="1"/>
    <n v="8"/>
    <x v="2"/>
    <n v="0.1"/>
  </r>
  <r>
    <x v="3"/>
    <x v="3"/>
    <x v="0"/>
    <n v="4"/>
    <x v="3"/>
    <n v="0.05"/>
  </r>
  <r>
    <x v="0"/>
    <x v="0"/>
    <x v="0"/>
    <n v="3"/>
    <x v="0"/>
    <n v="0.08"/>
  </r>
  <r>
    <x v="1"/>
    <x v="1"/>
    <x v="1"/>
    <n v="15"/>
    <x v="1"/>
    <n v="0.05"/>
  </r>
  <r>
    <x v="2"/>
    <x v="2"/>
    <x v="1"/>
    <n v="12"/>
    <x v="2"/>
    <n v="0"/>
  </r>
  <r>
    <x v="3"/>
    <x v="0"/>
    <x v="0"/>
    <n v="2"/>
    <x v="0"/>
    <n v="0.1"/>
  </r>
  <r>
    <x v="0"/>
    <x v="3"/>
    <x v="0"/>
    <n v="5"/>
    <x v="3"/>
    <n v="0.05"/>
  </r>
  <r>
    <x v="1"/>
    <x v="0"/>
    <x v="0"/>
    <n v="4"/>
    <x v="0"/>
    <n v="0.05"/>
  </r>
  <r>
    <x v="2"/>
    <x v="1"/>
    <x v="1"/>
    <n v="20"/>
    <x v="1"/>
    <n v="0"/>
  </r>
  <r>
    <x v="3"/>
    <x v="2"/>
    <x v="1"/>
    <n v="10"/>
    <x v="2"/>
    <n v="0.1"/>
  </r>
  <r>
    <x v="0"/>
    <x v="3"/>
    <x v="0"/>
    <n v="6"/>
    <x v="3"/>
    <n v="0.05"/>
  </r>
  <r>
    <x v="1"/>
    <x v="0"/>
    <x v="0"/>
    <n v="2"/>
    <x v="0"/>
    <n v="0.08"/>
  </r>
  <r>
    <x v="2"/>
    <x v="1"/>
    <x v="1"/>
    <n v="25"/>
    <x v="1"/>
    <n v="0.05"/>
  </r>
  <r>
    <x v="3"/>
    <x v="3"/>
    <x v="0"/>
    <n v="5"/>
    <x v="3"/>
    <n v="0"/>
  </r>
  <r>
    <x v="0"/>
    <x v="2"/>
    <x v="1"/>
    <n v="15"/>
    <x v="2"/>
    <n v="0.1"/>
  </r>
  <r>
    <x v="1"/>
    <x v="0"/>
    <x v="0"/>
    <n v="3"/>
    <x v="0"/>
    <n v="0.05"/>
  </r>
  <r>
    <x v="2"/>
    <x v="3"/>
    <x v="0"/>
    <n v="4"/>
    <x v="3"/>
    <n v="0.05"/>
  </r>
  <r>
    <x v="3"/>
    <x v="0"/>
    <x v="0"/>
    <n v="2"/>
    <x v="0"/>
    <n v="0.1"/>
  </r>
  <r>
    <x v="0"/>
    <x v="1"/>
    <x v="1"/>
    <n v="30"/>
    <x v="1"/>
    <n v="0"/>
  </r>
  <r>
    <x v="1"/>
    <x v="2"/>
    <x v="1"/>
    <n v="18"/>
    <x v="2"/>
    <n v="0.05"/>
  </r>
  <r>
    <x v="2"/>
    <x v="0"/>
    <x v="0"/>
    <n v="3"/>
    <x v="0"/>
    <n v="0.08"/>
  </r>
  <r>
    <x v="3"/>
    <x v="3"/>
    <x v="0"/>
    <n v="6"/>
    <x v="3"/>
    <n v="0.05"/>
  </r>
  <r>
    <x v="0"/>
    <x v="0"/>
    <x v="0"/>
    <n v="4"/>
    <x v="0"/>
    <n v="0.1"/>
  </r>
  <r>
    <x v="1"/>
    <x v="1"/>
    <x v="1"/>
    <n v="35"/>
    <x v="1"/>
    <n v="0.05"/>
  </r>
  <r>
    <x v="2"/>
    <x v="2"/>
    <x v="1"/>
    <n v="20"/>
    <x v="2"/>
    <n v="0"/>
  </r>
  <r>
    <x v="3"/>
    <x v="3"/>
    <x v="0"/>
    <n v="7"/>
    <x v="3"/>
    <n v="0.05"/>
  </r>
  <r>
    <x v="0"/>
    <x v="0"/>
    <x v="0"/>
    <n v="3"/>
    <x v="0"/>
    <n v="0.08"/>
  </r>
  <r>
    <x v="1"/>
    <x v="1"/>
    <x v="1"/>
    <n v="40"/>
    <x v="1"/>
    <n v="0"/>
  </r>
  <r>
    <x v="2"/>
    <x v="0"/>
    <x v="0"/>
    <n v="2"/>
    <x v="0"/>
    <n v="0.05"/>
  </r>
  <r>
    <x v="3"/>
    <x v="2"/>
    <x v="1"/>
    <n v="22"/>
    <x v="2"/>
    <n v="0.1"/>
  </r>
  <r>
    <x v="0"/>
    <x v="3"/>
    <x v="0"/>
    <n v="8"/>
    <x v="3"/>
    <n v="0.05"/>
  </r>
  <r>
    <x v="1"/>
    <x v="0"/>
    <x v="0"/>
    <n v="4"/>
    <x v="0"/>
    <n v="0.08"/>
  </r>
  <r>
    <x v="2"/>
    <x v="1"/>
    <x v="1"/>
    <n v="45"/>
    <x v="1"/>
    <n v="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57573D-00BA-4A57-951F-F65FF7B82EE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2">
    <pivotField showAll="0"/>
    <pivotField numFmtId="15" showAll="0"/>
    <pivotField showAll="0">
      <items count="5">
        <item h="1" x="3"/>
        <item h="1" x="1"/>
        <item h="1" x="2"/>
        <item x="0"/>
        <item t="default"/>
      </items>
    </pivotField>
    <pivotField showAll="0"/>
    <pivotField axis="axisRow" showAll="0">
      <items count="5">
        <item x="2"/>
        <item x="0"/>
        <item x="3"/>
        <item x="1"/>
        <item t="default"/>
      </items>
    </pivotField>
    <pivotField showAll="0"/>
    <pivotField showAll="0"/>
    <pivotField showAll="0"/>
    <pivotField numFmtId="9" showAll="0"/>
    <pivotField dragToRow="0" dragToCol="0" dragToPage="0" showAll="0" defaultSubtotal="0"/>
    <pivotField dragToRow="0" dragToCol="0" dragToPage="0" showAll="0" defaultSubtotal="0"/>
    <pivotField dataField="1" dragToRow="0" dragToCol="0" dragToPage="0" showAll="0" defaultSubtotal="0"/>
  </pivotFields>
  <rowFields count="1">
    <field x="4"/>
  </rowFields>
  <rowItems count="4">
    <i>
      <x/>
    </i>
    <i>
      <x v="1"/>
    </i>
    <i>
      <x v="2"/>
    </i>
    <i t="grand">
      <x/>
    </i>
  </rowItems>
  <colItems count="1">
    <i/>
  </colItems>
  <dataFields count="1">
    <dataField name="Sum of NET_SALES_" fld="11" baseField="4" baseItem="0" numFmtId="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A83DC5-61F7-42E0-8931-09C67824CCA9}" name="PivotTable3"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B9" firstHeaderRow="1" firstDataRow="1" firstDataCol="1"/>
  <pivotFields count="8">
    <pivotField showAll="0"/>
    <pivotField axis="axisRow" showAll="0">
      <items count="5">
        <item x="2"/>
        <item x="0"/>
        <item x="3"/>
        <item x="1"/>
        <item t="default"/>
      </items>
    </pivotField>
    <pivotField showAll="0"/>
    <pivotField dataField="1" showAll="0"/>
    <pivotField showAll="0"/>
    <pivotField numFmtId="9" showAll="0"/>
    <pivotField dragToRow="0" dragToCol="0" dragToPage="0" showAll="0" defaultSubtotal="0"/>
    <pivotField dragToRow="0" dragToCol="0" dragToPage="0" showAll="0" defaultSubtotal="0"/>
  </pivotFields>
  <rowFields count="1">
    <field x="1"/>
  </rowFields>
  <rowItems count="5">
    <i>
      <x/>
    </i>
    <i>
      <x v="1"/>
    </i>
    <i>
      <x v="2"/>
    </i>
    <i>
      <x v="3"/>
    </i>
    <i t="grand">
      <x/>
    </i>
  </rowItems>
  <colItems count="1">
    <i/>
  </colItems>
  <dataFields count="1">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2B05E0-8AB8-4619-9C7B-A53E57048BB2}" name="PivotTable4"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D9" firstHeaderRow="1" firstDataRow="2" firstDataCol="1"/>
  <pivotFields count="8">
    <pivotField axis="axisRow" showAll="0">
      <items count="5">
        <item x="0"/>
        <item x="3"/>
        <item x="1"/>
        <item x="2"/>
        <item t="default"/>
      </items>
    </pivotField>
    <pivotField showAll="0">
      <items count="5">
        <item x="2"/>
        <item x="0"/>
        <item x="3"/>
        <item x="1"/>
        <item t="default"/>
      </items>
    </pivotField>
    <pivotField axis="axisCol" showAll="0">
      <items count="3">
        <item x="1"/>
        <item x="0"/>
        <item t="default"/>
      </items>
    </pivotField>
    <pivotField dataField="1" showAll="0"/>
    <pivotField showAll="0"/>
    <pivotField numFmtId="9" showAll="0"/>
    <pivotField dragToRow="0" dragToCol="0" dragToPage="0" showAll="0" defaultSubtotal="0"/>
    <pivotField dragToRow="0" dragToCol="0" dragToPage="0" showAll="0" defaultSubtotal="0"/>
  </pivotFields>
  <rowFields count="1">
    <field x="0"/>
  </rowFields>
  <rowItems count="5">
    <i>
      <x/>
    </i>
    <i>
      <x v="1"/>
    </i>
    <i>
      <x v="2"/>
    </i>
    <i>
      <x v="3"/>
    </i>
    <i t="grand">
      <x/>
    </i>
  </rowItems>
  <colFields count="1">
    <field x="2"/>
  </colFields>
  <colItems count="3">
    <i>
      <x/>
    </i>
    <i>
      <x v="1"/>
    </i>
    <i t="grand">
      <x/>
    </i>
  </colItems>
  <dataFields count="1">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2DFADE-CE26-4F27-9213-981F31DF12B9}" name="PivotTable5"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5" firstHeaderRow="1" firstDataRow="1" firstDataCol="1"/>
  <pivotFields count="8">
    <pivotField axis="axisRow" showAll="0">
      <items count="5">
        <item x="0"/>
        <item h="1" x="3"/>
        <item h="1" x="1"/>
        <item h="1" x="2"/>
        <item t="default"/>
      </items>
    </pivotField>
    <pivotField showAll="0">
      <items count="5">
        <item h="1" x="2"/>
        <item h="1" x="0"/>
        <item h="1" x="3"/>
        <item x="1"/>
        <item t="default"/>
      </items>
    </pivotField>
    <pivotField showAll="0">
      <items count="3">
        <item x="1"/>
        <item x="0"/>
        <item t="default"/>
      </items>
    </pivotField>
    <pivotField showAll="0"/>
    <pivotField showAll="0">
      <items count="5">
        <item x="1"/>
        <item h="1" x="2"/>
        <item h="1" x="3"/>
        <item h="1" x="0"/>
        <item t="default"/>
      </items>
    </pivotField>
    <pivotField numFmtId="9" showAll="0"/>
    <pivotField dataField="1" dragToRow="0" dragToCol="0" dragToPage="0" showAll="0" defaultSubtotal="0"/>
    <pivotField dragToRow="0" dragToCol="0" dragToPage="0" showAll="0" defaultSubtotal="0"/>
  </pivotFields>
  <rowFields count="1">
    <field x="0"/>
  </rowFields>
  <rowItems count="2">
    <i>
      <x/>
    </i>
    <i t="grand">
      <x/>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026F2CE-60BB-48E7-81D8-E3A032AE0E0A}" sourceName="Region">
  <pivotTables>
    <pivotTable tabId="3" name="PivotTable2"/>
  </pivotTables>
  <data>
    <tabular pivotCacheId="1992813598">
      <items count="4">
        <i x="3"/>
        <i x="1"/>
        <i x="2"/>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9A7BDA15-007C-4B01-A772-12507CF357D2}" sourceName="Salesperson">
  <pivotTables>
    <pivotTable tabId="9" name="PivotTable5"/>
  </pivotTables>
  <data>
    <tabular pivotCacheId="1780290324">
      <items count="4">
        <i x="0" s="1"/>
        <i x="1"/>
        <i x="2"/>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40A250D-9890-4384-9BB9-14DB1284F1C7}" sourceName="Product">
  <pivotTables>
    <pivotTable tabId="9" name="PivotTable5"/>
  </pivotTables>
  <data>
    <tabular pivotCacheId="1780290324">
      <items count="4">
        <i x="1" s="1"/>
        <i x="2" nd="1"/>
        <i x="0" nd="1"/>
        <i x="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_Price" xr10:uid="{FC2EF5B8-C5C9-4D88-A7A8-CE66907064C7}" sourceName="Unit_Price">
  <pivotTables>
    <pivotTable tabId="9" name="PivotTable5"/>
  </pivotTables>
  <data>
    <tabular pivotCacheId="1780290324">
      <items count="4">
        <i x="1" s="1"/>
        <i x="2" nd="1"/>
        <i x="3" nd="1"/>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D156566-07DA-4C84-97A8-7B377115ADB7}" cache="Slicer_Region" caption="Region"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B54550F0-69D5-4EC1-93F5-D3D1047F2D24}" cache="Slicer_Salesperson" caption="Salesperson" rowHeight="241300"/>
  <slicer name="Product" xr10:uid="{9E56CF15-64BE-4CBC-ABE1-07014249ED44}" cache="Slicer_Product" caption="Product" rowHeight="241300"/>
  <slicer name="Unit_Price" xr10:uid="{F1305177-DFB3-4884-A4BE-46944769ED27}" cache="Slicer_Unit_Price" caption="Unit_Pric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3D238-8C1D-4DCC-A493-86DAEA02E6E7}">
  <dimension ref="A3:B7"/>
  <sheetViews>
    <sheetView workbookViewId="0">
      <selection activeCell="B4" sqref="B4"/>
    </sheetView>
  </sheetViews>
  <sheetFormatPr defaultRowHeight="14.25"/>
  <cols>
    <col min="1" max="1" width="12.5" bestFit="1" customWidth="1"/>
    <col min="2" max="2" width="17.125" bestFit="1" customWidth="1"/>
  </cols>
  <sheetData>
    <row r="3" spans="1:2">
      <c r="A3" s="7" t="s">
        <v>58</v>
      </c>
      <c r="B3" t="s">
        <v>63</v>
      </c>
    </row>
    <row r="4" spans="1:2">
      <c r="A4" s="8" t="s">
        <v>22</v>
      </c>
      <c r="B4" s="10">
        <v>95808</v>
      </c>
    </row>
    <row r="5" spans="1:2">
      <c r="A5" s="8" t="s">
        <v>12</v>
      </c>
      <c r="B5" s="10">
        <v>987525</v>
      </c>
    </row>
    <row r="6" spans="1:2">
      <c r="A6" s="8" t="s">
        <v>25</v>
      </c>
      <c r="B6" s="10">
        <v>1581624</v>
      </c>
    </row>
    <row r="7" spans="1:2">
      <c r="A7" s="8" t="s">
        <v>59</v>
      </c>
      <c r="B7" s="10">
        <v>14313600</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71D04-9CFF-4EDD-88BE-99FA21654370}">
  <dimension ref="A1"/>
  <sheetViews>
    <sheetView workbookViewId="0">
      <selection activeCell="K5" sqref="K5"/>
    </sheetView>
  </sheetViews>
  <sheetFormatPr defaultRowHeight="14.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B2BDC-860E-46D5-B486-854388822436}">
  <dimension ref="A1:P36"/>
  <sheetViews>
    <sheetView topLeftCell="D1" workbookViewId="0">
      <selection activeCell="D1" sqref="D1:I36"/>
    </sheetView>
  </sheetViews>
  <sheetFormatPr defaultRowHeight="14.25"/>
  <cols>
    <col min="1" max="1" width="14.125" customWidth="1"/>
    <col min="2" max="2" width="13.125" customWidth="1"/>
    <col min="3" max="3" width="12.625" customWidth="1"/>
    <col min="4" max="4" width="13.5" customWidth="1"/>
    <col min="5" max="5" width="13.875" customWidth="1"/>
    <col min="6" max="6" width="14.75" customWidth="1"/>
    <col min="7" max="7" width="14.125" customWidth="1"/>
    <col min="8" max="8" width="13.25" customWidth="1"/>
    <col min="9" max="9" width="14.125" customWidth="1"/>
    <col min="10" max="10" width="11.875" customWidth="1"/>
    <col min="11" max="11" width="19.125" customWidth="1"/>
  </cols>
  <sheetData>
    <row r="1" spans="1:16" ht="15">
      <c r="A1" s="1" t="s">
        <v>0</v>
      </c>
      <c r="B1" s="1" t="s">
        <v>1</v>
      </c>
      <c r="C1" s="1" t="s">
        <v>2</v>
      </c>
      <c r="D1" s="1" t="s">
        <v>3</v>
      </c>
      <c r="E1" s="1" t="s">
        <v>4</v>
      </c>
      <c r="F1" s="1" t="s">
        <v>5</v>
      </c>
      <c r="G1" s="3" t="s">
        <v>6</v>
      </c>
      <c r="H1" s="3" t="s">
        <v>7</v>
      </c>
      <c r="I1" s="3" t="s">
        <v>8</v>
      </c>
      <c r="J1" s="3" t="s">
        <v>60</v>
      </c>
      <c r="K1" s="3" t="s">
        <v>64</v>
      </c>
    </row>
    <row r="2" spans="1:16">
      <c r="A2" s="4" t="s">
        <v>9</v>
      </c>
      <c r="B2" s="5">
        <v>45662</v>
      </c>
      <c r="C2" s="4" t="s">
        <v>10</v>
      </c>
      <c r="D2" s="4" t="s">
        <v>11</v>
      </c>
      <c r="E2" s="4" t="s">
        <v>12</v>
      </c>
      <c r="F2" s="4" t="s">
        <v>13</v>
      </c>
      <c r="G2" s="2">
        <v>2</v>
      </c>
      <c r="H2" s="2">
        <v>55000</v>
      </c>
      <c r="I2" s="6">
        <v>0.05</v>
      </c>
      <c r="J2">
        <f>H2*G2</f>
        <v>110000</v>
      </c>
      <c r="K2" s="9">
        <f>1-I2</f>
        <v>0.95</v>
      </c>
      <c r="L2">
        <f>J2*K2</f>
        <v>104500</v>
      </c>
      <c r="M2">
        <f>(H2 *G2) * (1-I2)</f>
        <v>104500</v>
      </c>
      <c r="N2" t="s">
        <v>61</v>
      </c>
    </row>
    <row r="3" spans="1:16">
      <c r="A3" s="4" t="s">
        <v>14</v>
      </c>
      <c r="B3" s="5">
        <v>45669</v>
      </c>
      <c r="C3" s="4" t="s">
        <v>15</v>
      </c>
      <c r="D3" s="4" t="s">
        <v>16</v>
      </c>
      <c r="E3" s="4" t="s">
        <v>17</v>
      </c>
      <c r="F3" s="4" t="s">
        <v>18</v>
      </c>
      <c r="G3" s="2">
        <v>10</v>
      </c>
      <c r="H3" s="2">
        <v>800</v>
      </c>
      <c r="I3" s="6">
        <v>0</v>
      </c>
      <c r="J3">
        <f>H3*G3</f>
        <v>8000</v>
      </c>
      <c r="K3" s="9">
        <f t="shared" ref="K3:K36" si="0">1-I3</f>
        <v>1</v>
      </c>
      <c r="L3">
        <f t="shared" ref="L3:L36" si="1">J3*K3</f>
        <v>8000</v>
      </c>
      <c r="M3">
        <f t="shared" ref="M3:M36" si="2">(H3 *G3) * (1-I3)</f>
        <v>8000</v>
      </c>
    </row>
    <row r="4" spans="1:16">
      <c r="A4" s="4" t="s">
        <v>19</v>
      </c>
      <c r="B4" s="5">
        <v>45677</v>
      </c>
      <c r="C4" s="4" t="s">
        <v>20</v>
      </c>
      <c r="D4" s="4" t="s">
        <v>21</v>
      </c>
      <c r="E4" s="4" t="s">
        <v>22</v>
      </c>
      <c r="F4" s="4" t="s">
        <v>18</v>
      </c>
      <c r="G4" s="2">
        <v>8</v>
      </c>
      <c r="H4" s="2">
        <v>1500</v>
      </c>
      <c r="I4" s="6">
        <v>0.1</v>
      </c>
      <c r="J4">
        <f t="shared" ref="J4:J36" si="3">H4*G4</f>
        <v>12000</v>
      </c>
      <c r="K4" s="9">
        <f t="shared" si="0"/>
        <v>0.9</v>
      </c>
      <c r="L4">
        <f t="shared" si="1"/>
        <v>10800</v>
      </c>
      <c r="M4">
        <f t="shared" si="2"/>
        <v>10800</v>
      </c>
      <c r="P4" t="s">
        <v>62</v>
      </c>
    </row>
    <row r="5" spans="1:16">
      <c r="A5" s="4" t="s">
        <v>23</v>
      </c>
      <c r="B5" s="5">
        <v>45691</v>
      </c>
      <c r="C5" s="4" t="s">
        <v>10</v>
      </c>
      <c r="D5" s="4" t="s">
        <v>24</v>
      </c>
      <c r="E5" s="4" t="s">
        <v>25</v>
      </c>
      <c r="F5" s="4" t="s">
        <v>13</v>
      </c>
      <c r="G5" s="2">
        <v>4</v>
      </c>
      <c r="H5" s="2">
        <v>18000</v>
      </c>
      <c r="I5" s="6">
        <v>0.05</v>
      </c>
      <c r="J5">
        <f t="shared" si="3"/>
        <v>72000</v>
      </c>
      <c r="K5" s="9">
        <f t="shared" si="0"/>
        <v>0.95</v>
      </c>
      <c r="L5">
        <f t="shared" si="1"/>
        <v>68400</v>
      </c>
      <c r="M5">
        <f t="shared" si="2"/>
        <v>68400</v>
      </c>
    </row>
    <row r="6" spans="1:16">
      <c r="A6" s="4" t="s">
        <v>26</v>
      </c>
      <c r="B6" s="5">
        <v>45703</v>
      </c>
      <c r="C6" s="4" t="s">
        <v>15</v>
      </c>
      <c r="D6" s="4" t="s">
        <v>11</v>
      </c>
      <c r="E6" s="4" t="s">
        <v>12</v>
      </c>
      <c r="F6" s="4" t="s">
        <v>13</v>
      </c>
      <c r="G6" s="2">
        <v>3</v>
      </c>
      <c r="H6" s="2">
        <v>55000</v>
      </c>
      <c r="I6" s="6">
        <v>0.08</v>
      </c>
      <c r="J6">
        <f t="shared" si="3"/>
        <v>165000</v>
      </c>
      <c r="K6" s="9">
        <f t="shared" si="0"/>
        <v>0.92</v>
      </c>
      <c r="L6">
        <f t="shared" si="1"/>
        <v>151800</v>
      </c>
      <c r="M6">
        <f t="shared" si="2"/>
        <v>151800</v>
      </c>
    </row>
    <row r="7" spans="1:16">
      <c r="A7" s="4" t="s">
        <v>27</v>
      </c>
      <c r="B7" s="5">
        <v>45713</v>
      </c>
      <c r="C7" s="4" t="s">
        <v>20</v>
      </c>
      <c r="D7" s="4" t="s">
        <v>16</v>
      </c>
      <c r="E7" s="4" t="s">
        <v>17</v>
      </c>
      <c r="F7" s="4" t="s">
        <v>18</v>
      </c>
      <c r="G7" s="2">
        <v>15</v>
      </c>
      <c r="H7" s="2">
        <v>800</v>
      </c>
      <c r="I7" s="6">
        <v>0.05</v>
      </c>
      <c r="J7">
        <f t="shared" si="3"/>
        <v>12000</v>
      </c>
      <c r="K7" s="9">
        <f t="shared" si="0"/>
        <v>0.95</v>
      </c>
      <c r="L7">
        <f t="shared" si="1"/>
        <v>11400</v>
      </c>
      <c r="M7">
        <f t="shared" si="2"/>
        <v>11400</v>
      </c>
    </row>
    <row r="8" spans="1:16">
      <c r="A8" s="4" t="s">
        <v>28</v>
      </c>
      <c r="B8" s="5">
        <v>45723</v>
      </c>
      <c r="C8" s="4" t="s">
        <v>29</v>
      </c>
      <c r="D8" s="4" t="s">
        <v>21</v>
      </c>
      <c r="E8" s="4" t="s">
        <v>22</v>
      </c>
      <c r="F8" s="4" t="s">
        <v>18</v>
      </c>
      <c r="G8" s="2">
        <v>12</v>
      </c>
      <c r="H8" s="2">
        <v>1500</v>
      </c>
      <c r="I8" s="6">
        <v>0</v>
      </c>
      <c r="J8">
        <f t="shared" si="3"/>
        <v>18000</v>
      </c>
      <c r="K8" s="9">
        <f t="shared" si="0"/>
        <v>1</v>
      </c>
      <c r="L8">
        <f t="shared" si="1"/>
        <v>18000</v>
      </c>
      <c r="M8">
        <f t="shared" si="2"/>
        <v>18000</v>
      </c>
    </row>
    <row r="9" spans="1:16">
      <c r="A9" s="4" t="s">
        <v>30</v>
      </c>
      <c r="B9" s="5">
        <v>45734</v>
      </c>
      <c r="C9" s="4" t="s">
        <v>10</v>
      </c>
      <c r="D9" s="4" t="s">
        <v>24</v>
      </c>
      <c r="E9" s="4" t="s">
        <v>12</v>
      </c>
      <c r="F9" s="4" t="s">
        <v>13</v>
      </c>
      <c r="G9" s="2">
        <v>2</v>
      </c>
      <c r="H9" s="2">
        <v>55000</v>
      </c>
      <c r="I9" s="6">
        <v>0.1</v>
      </c>
      <c r="J9">
        <f t="shared" si="3"/>
        <v>110000</v>
      </c>
      <c r="K9" s="9">
        <f t="shared" si="0"/>
        <v>0.9</v>
      </c>
      <c r="L9">
        <f t="shared" si="1"/>
        <v>99000</v>
      </c>
      <c r="M9">
        <f t="shared" si="2"/>
        <v>99000</v>
      </c>
    </row>
    <row r="10" spans="1:16">
      <c r="A10" s="4" t="s">
        <v>31</v>
      </c>
      <c r="B10" s="5">
        <v>45745</v>
      </c>
      <c r="C10" s="4" t="s">
        <v>15</v>
      </c>
      <c r="D10" s="4" t="s">
        <v>11</v>
      </c>
      <c r="E10" s="4" t="s">
        <v>25</v>
      </c>
      <c r="F10" s="4" t="s">
        <v>13</v>
      </c>
      <c r="G10" s="2">
        <v>5</v>
      </c>
      <c r="H10" s="2">
        <v>18000</v>
      </c>
      <c r="I10" s="6">
        <v>0.05</v>
      </c>
      <c r="J10">
        <f t="shared" si="3"/>
        <v>90000</v>
      </c>
      <c r="K10" s="9">
        <f t="shared" si="0"/>
        <v>0.95</v>
      </c>
      <c r="L10">
        <f t="shared" si="1"/>
        <v>85500</v>
      </c>
      <c r="M10">
        <f t="shared" si="2"/>
        <v>85500</v>
      </c>
    </row>
    <row r="11" spans="1:16">
      <c r="A11" s="4" t="s">
        <v>32</v>
      </c>
      <c r="B11" s="5">
        <v>45753</v>
      </c>
      <c r="C11" s="4" t="s">
        <v>20</v>
      </c>
      <c r="D11" s="4" t="s">
        <v>16</v>
      </c>
      <c r="E11" s="4" t="s">
        <v>12</v>
      </c>
      <c r="F11" s="4" t="s">
        <v>13</v>
      </c>
      <c r="G11" s="2">
        <v>4</v>
      </c>
      <c r="H11" s="2">
        <v>55000</v>
      </c>
      <c r="I11" s="6">
        <v>0.05</v>
      </c>
      <c r="J11">
        <f t="shared" si="3"/>
        <v>220000</v>
      </c>
      <c r="K11" s="9">
        <f t="shared" si="0"/>
        <v>0.95</v>
      </c>
      <c r="L11">
        <f t="shared" si="1"/>
        <v>209000</v>
      </c>
      <c r="M11">
        <f t="shared" si="2"/>
        <v>209000</v>
      </c>
    </row>
    <row r="12" spans="1:16">
      <c r="A12" s="4" t="s">
        <v>33</v>
      </c>
      <c r="B12" s="5">
        <v>45764</v>
      </c>
      <c r="C12" s="4" t="s">
        <v>29</v>
      </c>
      <c r="D12" s="4" t="s">
        <v>21</v>
      </c>
      <c r="E12" s="4" t="s">
        <v>17</v>
      </c>
      <c r="F12" s="4" t="s">
        <v>18</v>
      </c>
      <c r="G12" s="2">
        <v>20</v>
      </c>
      <c r="H12" s="2">
        <v>800</v>
      </c>
      <c r="I12" s="6">
        <v>0</v>
      </c>
      <c r="J12">
        <f t="shared" si="3"/>
        <v>16000</v>
      </c>
      <c r="K12" s="9">
        <f t="shared" si="0"/>
        <v>1</v>
      </c>
      <c r="L12">
        <f t="shared" si="1"/>
        <v>16000</v>
      </c>
      <c r="M12">
        <f t="shared" si="2"/>
        <v>16000</v>
      </c>
    </row>
    <row r="13" spans="1:16">
      <c r="A13" s="4" t="s">
        <v>34</v>
      </c>
      <c r="B13" s="5">
        <v>45775</v>
      </c>
      <c r="C13" s="4" t="s">
        <v>10</v>
      </c>
      <c r="D13" s="4" t="s">
        <v>24</v>
      </c>
      <c r="E13" s="4" t="s">
        <v>22</v>
      </c>
      <c r="F13" s="4" t="s">
        <v>18</v>
      </c>
      <c r="G13" s="2">
        <v>10</v>
      </c>
      <c r="H13" s="2">
        <v>1500</v>
      </c>
      <c r="I13" s="6">
        <v>0.1</v>
      </c>
      <c r="J13">
        <f t="shared" si="3"/>
        <v>15000</v>
      </c>
      <c r="K13" s="9">
        <f t="shared" si="0"/>
        <v>0.9</v>
      </c>
      <c r="L13">
        <f t="shared" si="1"/>
        <v>13500</v>
      </c>
      <c r="M13">
        <f t="shared" si="2"/>
        <v>13500</v>
      </c>
    </row>
    <row r="14" spans="1:16">
      <c r="A14" s="4" t="s">
        <v>35</v>
      </c>
      <c r="B14" s="5">
        <v>45785</v>
      </c>
      <c r="C14" s="4" t="s">
        <v>15</v>
      </c>
      <c r="D14" s="4" t="s">
        <v>11</v>
      </c>
      <c r="E14" s="4" t="s">
        <v>25</v>
      </c>
      <c r="F14" s="4" t="s">
        <v>13</v>
      </c>
      <c r="G14" s="2">
        <v>6</v>
      </c>
      <c r="H14" s="2">
        <v>18000</v>
      </c>
      <c r="I14" s="6">
        <v>0.05</v>
      </c>
      <c r="J14">
        <f t="shared" si="3"/>
        <v>108000</v>
      </c>
      <c r="K14" s="9">
        <f t="shared" si="0"/>
        <v>0.95</v>
      </c>
      <c r="L14">
        <f t="shared" si="1"/>
        <v>102600</v>
      </c>
      <c r="M14">
        <f t="shared" si="2"/>
        <v>102600</v>
      </c>
    </row>
    <row r="15" spans="1:16">
      <c r="A15" s="4" t="s">
        <v>36</v>
      </c>
      <c r="B15" s="5">
        <v>45796</v>
      </c>
      <c r="C15" s="4" t="s">
        <v>20</v>
      </c>
      <c r="D15" s="4" t="s">
        <v>16</v>
      </c>
      <c r="E15" s="4" t="s">
        <v>12</v>
      </c>
      <c r="F15" s="4" t="s">
        <v>13</v>
      </c>
      <c r="G15" s="2">
        <v>2</v>
      </c>
      <c r="H15" s="2">
        <v>55000</v>
      </c>
      <c r="I15" s="6">
        <v>0.08</v>
      </c>
      <c r="J15">
        <f t="shared" si="3"/>
        <v>110000</v>
      </c>
      <c r="K15" s="9">
        <f t="shared" si="0"/>
        <v>0.92</v>
      </c>
      <c r="L15">
        <f t="shared" si="1"/>
        <v>101200</v>
      </c>
      <c r="M15">
        <f t="shared" si="2"/>
        <v>101200</v>
      </c>
    </row>
    <row r="16" spans="1:16">
      <c r="A16" s="4" t="s">
        <v>37</v>
      </c>
      <c r="B16" s="5">
        <v>45807</v>
      </c>
      <c r="C16" s="4" t="s">
        <v>29</v>
      </c>
      <c r="D16" s="4" t="s">
        <v>21</v>
      </c>
      <c r="E16" s="4" t="s">
        <v>17</v>
      </c>
      <c r="F16" s="4" t="s">
        <v>18</v>
      </c>
      <c r="G16" s="2">
        <v>25</v>
      </c>
      <c r="H16" s="2">
        <v>800</v>
      </c>
      <c r="I16" s="6">
        <v>0.05</v>
      </c>
      <c r="J16">
        <f t="shared" si="3"/>
        <v>20000</v>
      </c>
      <c r="K16" s="9">
        <f t="shared" si="0"/>
        <v>0.95</v>
      </c>
      <c r="L16">
        <f t="shared" si="1"/>
        <v>19000</v>
      </c>
      <c r="M16">
        <f t="shared" si="2"/>
        <v>19000</v>
      </c>
    </row>
    <row r="17" spans="1:13">
      <c r="A17" s="4" t="s">
        <v>38</v>
      </c>
      <c r="B17" s="5">
        <v>45817</v>
      </c>
      <c r="C17" s="4" t="s">
        <v>10</v>
      </c>
      <c r="D17" s="4" t="s">
        <v>24</v>
      </c>
      <c r="E17" s="4" t="s">
        <v>25</v>
      </c>
      <c r="F17" s="4" t="s">
        <v>13</v>
      </c>
      <c r="G17" s="2">
        <v>5</v>
      </c>
      <c r="H17" s="2">
        <v>18000</v>
      </c>
      <c r="I17" s="6">
        <v>0</v>
      </c>
      <c r="J17">
        <f t="shared" si="3"/>
        <v>90000</v>
      </c>
      <c r="K17" s="9">
        <f t="shared" si="0"/>
        <v>1</v>
      </c>
      <c r="L17">
        <f t="shared" si="1"/>
        <v>90000</v>
      </c>
      <c r="M17">
        <f t="shared" si="2"/>
        <v>90000</v>
      </c>
    </row>
    <row r="18" spans="1:13">
      <c r="A18" s="4" t="s">
        <v>39</v>
      </c>
      <c r="B18" s="5">
        <v>45829</v>
      </c>
      <c r="C18" s="4" t="s">
        <v>15</v>
      </c>
      <c r="D18" s="4" t="s">
        <v>11</v>
      </c>
      <c r="E18" s="4" t="s">
        <v>22</v>
      </c>
      <c r="F18" s="4" t="s">
        <v>18</v>
      </c>
      <c r="G18" s="2">
        <v>15</v>
      </c>
      <c r="H18" s="2">
        <v>1500</v>
      </c>
      <c r="I18" s="6">
        <v>0.1</v>
      </c>
      <c r="J18">
        <f t="shared" si="3"/>
        <v>22500</v>
      </c>
      <c r="K18" s="9">
        <f t="shared" si="0"/>
        <v>0.9</v>
      </c>
      <c r="L18">
        <f t="shared" si="1"/>
        <v>20250</v>
      </c>
      <c r="M18">
        <f t="shared" si="2"/>
        <v>20250</v>
      </c>
    </row>
    <row r="19" spans="1:13">
      <c r="A19" s="4" t="s">
        <v>40</v>
      </c>
      <c r="B19" s="5">
        <v>45837</v>
      </c>
      <c r="C19" s="4" t="s">
        <v>20</v>
      </c>
      <c r="D19" s="4" t="s">
        <v>16</v>
      </c>
      <c r="E19" s="4" t="s">
        <v>12</v>
      </c>
      <c r="F19" s="4" t="s">
        <v>13</v>
      </c>
      <c r="G19" s="2">
        <v>3</v>
      </c>
      <c r="H19" s="2">
        <v>55000</v>
      </c>
      <c r="I19" s="6">
        <v>0.05</v>
      </c>
      <c r="J19">
        <f t="shared" si="3"/>
        <v>165000</v>
      </c>
      <c r="K19" s="9">
        <f t="shared" si="0"/>
        <v>0.95</v>
      </c>
      <c r="L19">
        <f t="shared" si="1"/>
        <v>156750</v>
      </c>
      <c r="M19">
        <f t="shared" si="2"/>
        <v>156750</v>
      </c>
    </row>
    <row r="20" spans="1:13">
      <c r="A20" s="4" t="s">
        <v>41</v>
      </c>
      <c r="B20" s="5">
        <v>45845</v>
      </c>
      <c r="C20" s="4" t="s">
        <v>29</v>
      </c>
      <c r="D20" s="4" t="s">
        <v>21</v>
      </c>
      <c r="E20" s="4" t="s">
        <v>25</v>
      </c>
      <c r="F20" s="4" t="s">
        <v>13</v>
      </c>
      <c r="G20" s="2">
        <v>4</v>
      </c>
      <c r="H20" s="2">
        <v>18000</v>
      </c>
      <c r="I20" s="6">
        <v>0.05</v>
      </c>
      <c r="J20">
        <f t="shared" si="3"/>
        <v>72000</v>
      </c>
      <c r="K20" s="9">
        <f t="shared" si="0"/>
        <v>0.95</v>
      </c>
      <c r="L20">
        <f t="shared" si="1"/>
        <v>68400</v>
      </c>
      <c r="M20">
        <f t="shared" si="2"/>
        <v>68400</v>
      </c>
    </row>
    <row r="21" spans="1:13">
      <c r="A21" s="4" t="s">
        <v>42</v>
      </c>
      <c r="B21" s="5">
        <v>45856</v>
      </c>
      <c r="C21" s="4" t="s">
        <v>10</v>
      </c>
      <c r="D21" s="4" t="s">
        <v>24</v>
      </c>
      <c r="E21" s="4" t="s">
        <v>12</v>
      </c>
      <c r="F21" s="4" t="s">
        <v>13</v>
      </c>
      <c r="G21" s="2">
        <v>2</v>
      </c>
      <c r="H21" s="2">
        <v>55000</v>
      </c>
      <c r="I21" s="6">
        <v>0.1</v>
      </c>
      <c r="J21">
        <f t="shared" si="3"/>
        <v>110000</v>
      </c>
      <c r="K21" s="9">
        <f t="shared" si="0"/>
        <v>0.9</v>
      </c>
      <c r="L21">
        <f t="shared" si="1"/>
        <v>99000</v>
      </c>
      <c r="M21">
        <f t="shared" si="2"/>
        <v>99000</v>
      </c>
    </row>
    <row r="22" spans="1:13">
      <c r="A22" s="4" t="s">
        <v>43</v>
      </c>
      <c r="B22" s="5">
        <v>45864</v>
      </c>
      <c r="C22" s="4" t="s">
        <v>15</v>
      </c>
      <c r="D22" s="4" t="s">
        <v>11</v>
      </c>
      <c r="E22" s="4" t="s">
        <v>17</v>
      </c>
      <c r="F22" s="4" t="s">
        <v>18</v>
      </c>
      <c r="G22" s="2">
        <v>30</v>
      </c>
      <c r="H22" s="2">
        <v>800</v>
      </c>
      <c r="I22" s="6">
        <v>0</v>
      </c>
      <c r="J22">
        <f t="shared" si="3"/>
        <v>24000</v>
      </c>
      <c r="K22" s="9">
        <f t="shared" si="0"/>
        <v>1</v>
      </c>
      <c r="L22">
        <f t="shared" si="1"/>
        <v>24000</v>
      </c>
      <c r="M22">
        <f t="shared" si="2"/>
        <v>24000</v>
      </c>
    </row>
    <row r="23" spans="1:13">
      <c r="A23" s="4" t="s">
        <v>44</v>
      </c>
      <c r="B23" s="5">
        <v>45874</v>
      </c>
      <c r="C23" s="4" t="s">
        <v>20</v>
      </c>
      <c r="D23" s="4" t="s">
        <v>16</v>
      </c>
      <c r="E23" s="4" t="s">
        <v>22</v>
      </c>
      <c r="F23" s="4" t="s">
        <v>18</v>
      </c>
      <c r="G23" s="2">
        <v>18</v>
      </c>
      <c r="H23" s="2">
        <v>1500</v>
      </c>
      <c r="I23" s="6">
        <v>0.05</v>
      </c>
      <c r="J23">
        <f t="shared" si="3"/>
        <v>27000</v>
      </c>
      <c r="K23" s="9">
        <f t="shared" si="0"/>
        <v>0.95</v>
      </c>
      <c r="L23">
        <f t="shared" si="1"/>
        <v>25650</v>
      </c>
      <c r="M23">
        <f t="shared" si="2"/>
        <v>25650</v>
      </c>
    </row>
    <row r="24" spans="1:13">
      <c r="A24" s="4" t="s">
        <v>45</v>
      </c>
      <c r="B24" s="5">
        <v>45885</v>
      </c>
      <c r="C24" s="4" t="s">
        <v>29</v>
      </c>
      <c r="D24" s="4" t="s">
        <v>21</v>
      </c>
      <c r="E24" s="4" t="s">
        <v>12</v>
      </c>
      <c r="F24" s="4" t="s">
        <v>13</v>
      </c>
      <c r="G24" s="2">
        <v>3</v>
      </c>
      <c r="H24" s="2">
        <v>55000</v>
      </c>
      <c r="I24" s="6">
        <v>0.08</v>
      </c>
      <c r="J24">
        <f t="shared" si="3"/>
        <v>165000</v>
      </c>
      <c r="K24" s="9">
        <f t="shared" si="0"/>
        <v>0.92</v>
      </c>
      <c r="L24">
        <f t="shared" si="1"/>
        <v>151800</v>
      </c>
      <c r="M24">
        <f t="shared" si="2"/>
        <v>151800</v>
      </c>
    </row>
    <row r="25" spans="1:13">
      <c r="A25" s="4" t="s">
        <v>46</v>
      </c>
      <c r="B25" s="5">
        <v>45896</v>
      </c>
      <c r="C25" s="4" t="s">
        <v>10</v>
      </c>
      <c r="D25" s="4" t="s">
        <v>24</v>
      </c>
      <c r="E25" s="4" t="s">
        <v>25</v>
      </c>
      <c r="F25" s="4" t="s">
        <v>13</v>
      </c>
      <c r="G25" s="2">
        <v>6</v>
      </c>
      <c r="H25" s="2">
        <v>18000</v>
      </c>
      <c r="I25" s="6">
        <v>0.05</v>
      </c>
      <c r="J25">
        <f t="shared" si="3"/>
        <v>108000</v>
      </c>
      <c r="K25" s="9">
        <f t="shared" si="0"/>
        <v>0.95</v>
      </c>
      <c r="L25">
        <f t="shared" si="1"/>
        <v>102600</v>
      </c>
      <c r="M25">
        <f t="shared" si="2"/>
        <v>102600</v>
      </c>
    </row>
    <row r="26" spans="1:13">
      <c r="A26" s="4" t="s">
        <v>47</v>
      </c>
      <c r="B26" s="5">
        <v>45908</v>
      </c>
      <c r="C26" s="4" t="s">
        <v>15</v>
      </c>
      <c r="D26" s="4" t="s">
        <v>11</v>
      </c>
      <c r="E26" s="4" t="s">
        <v>12</v>
      </c>
      <c r="F26" s="4" t="s">
        <v>13</v>
      </c>
      <c r="G26" s="2">
        <v>4</v>
      </c>
      <c r="H26" s="2">
        <v>55000</v>
      </c>
      <c r="I26" s="6">
        <v>0.1</v>
      </c>
      <c r="J26">
        <f t="shared" si="3"/>
        <v>220000</v>
      </c>
      <c r="K26" s="9">
        <f t="shared" si="0"/>
        <v>0.9</v>
      </c>
      <c r="L26">
        <f t="shared" si="1"/>
        <v>198000</v>
      </c>
      <c r="M26">
        <f t="shared" si="2"/>
        <v>198000</v>
      </c>
    </row>
    <row r="27" spans="1:13">
      <c r="A27" s="4" t="s">
        <v>48</v>
      </c>
      <c r="B27" s="5">
        <v>45919</v>
      </c>
      <c r="C27" s="4" t="s">
        <v>20</v>
      </c>
      <c r="D27" s="4" t="s">
        <v>16</v>
      </c>
      <c r="E27" s="4" t="s">
        <v>17</v>
      </c>
      <c r="F27" s="4" t="s">
        <v>18</v>
      </c>
      <c r="G27" s="2">
        <v>35</v>
      </c>
      <c r="H27" s="2">
        <v>800</v>
      </c>
      <c r="I27" s="6">
        <v>0.05</v>
      </c>
      <c r="J27">
        <f t="shared" si="3"/>
        <v>28000</v>
      </c>
      <c r="K27" s="9">
        <f t="shared" si="0"/>
        <v>0.95</v>
      </c>
      <c r="L27">
        <f t="shared" si="1"/>
        <v>26600</v>
      </c>
      <c r="M27">
        <f t="shared" si="2"/>
        <v>26600</v>
      </c>
    </row>
    <row r="28" spans="1:13">
      <c r="A28" s="4" t="s">
        <v>49</v>
      </c>
      <c r="B28" s="5">
        <v>45930</v>
      </c>
      <c r="C28" s="4" t="s">
        <v>29</v>
      </c>
      <c r="D28" s="4" t="s">
        <v>21</v>
      </c>
      <c r="E28" s="4" t="s">
        <v>22</v>
      </c>
      <c r="F28" s="4" t="s">
        <v>18</v>
      </c>
      <c r="G28" s="2">
        <v>20</v>
      </c>
      <c r="H28" s="2">
        <v>1500</v>
      </c>
      <c r="I28" s="6">
        <v>0</v>
      </c>
      <c r="J28">
        <f t="shared" si="3"/>
        <v>30000</v>
      </c>
      <c r="K28" s="9">
        <f t="shared" si="0"/>
        <v>1</v>
      </c>
      <c r="L28">
        <f t="shared" si="1"/>
        <v>30000</v>
      </c>
      <c r="M28">
        <f t="shared" si="2"/>
        <v>30000</v>
      </c>
    </row>
    <row r="29" spans="1:13">
      <c r="A29" s="4" t="s">
        <v>50</v>
      </c>
      <c r="B29" s="5">
        <v>45940</v>
      </c>
      <c r="C29" s="4" t="s">
        <v>10</v>
      </c>
      <c r="D29" s="4" t="s">
        <v>24</v>
      </c>
      <c r="E29" s="4" t="s">
        <v>25</v>
      </c>
      <c r="F29" s="4" t="s">
        <v>13</v>
      </c>
      <c r="G29" s="2">
        <v>7</v>
      </c>
      <c r="H29" s="2">
        <v>18000</v>
      </c>
      <c r="I29" s="6">
        <v>0.05</v>
      </c>
      <c r="J29">
        <f t="shared" si="3"/>
        <v>126000</v>
      </c>
      <c r="K29" s="9">
        <f t="shared" si="0"/>
        <v>0.95</v>
      </c>
      <c r="L29">
        <f t="shared" si="1"/>
        <v>119700</v>
      </c>
      <c r="M29">
        <f t="shared" si="2"/>
        <v>119700</v>
      </c>
    </row>
    <row r="30" spans="1:13">
      <c r="A30" s="4" t="s">
        <v>51</v>
      </c>
      <c r="B30" s="5">
        <v>45951</v>
      </c>
      <c r="C30" s="4" t="s">
        <v>15</v>
      </c>
      <c r="D30" s="4" t="s">
        <v>11</v>
      </c>
      <c r="E30" s="4" t="s">
        <v>12</v>
      </c>
      <c r="F30" s="4" t="s">
        <v>13</v>
      </c>
      <c r="G30" s="2">
        <v>3</v>
      </c>
      <c r="H30" s="2">
        <v>55000</v>
      </c>
      <c r="I30" s="6">
        <v>0.08</v>
      </c>
      <c r="J30">
        <f t="shared" si="3"/>
        <v>165000</v>
      </c>
      <c r="K30" s="9">
        <f t="shared" si="0"/>
        <v>0.92</v>
      </c>
      <c r="L30">
        <f t="shared" si="1"/>
        <v>151800</v>
      </c>
      <c r="M30">
        <f t="shared" si="2"/>
        <v>151800</v>
      </c>
    </row>
    <row r="31" spans="1:13">
      <c r="A31" s="4" t="s">
        <v>52</v>
      </c>
      <c r="B31" s="5">
        <v>45963</v>
      </c>
      <c r="C31" s="4" t="s">
        <v>20</v>
      </c>
      <c r="D31" s="4" t="s">
        <v>16</v>
      </c>
      <c r="E31" s="4" t="s">
        <v>17</v>
      </c>
      <c r="F31" s="4" t="s">
        <v>18</v>
      </c>
      <c r="G31" s="2">
        <v>40</v>
      </c>
      <c r="H31" s="2">
        <v>800</v>
      </c>
      <c r="I31" s="6">
        <v>0</v>
      </c>
      <c r="J31">
        <f t="shared" si="3"/>
        <v>32000</v>
      </c>
      <c r="K31" s="9">
        <f t="shared" si="0"/>
        <v>1</v>
      </c>
      <c r="L31">
        <f t="shared" si="1"/>
        <v>32000</v>
      </c>
      <c r="M31">
        <f t="shared" si="2"/>
        <v>32000</v>
      </c>
    </row>
    <row r="32" spans="1:13">
      <c r="A32" s="4" t="s">
        <v>53</v>
      </c>
      <c r="B32" s="5">
        <v>45975</v>
      </c>
      <c r="C32" s="4" t="s">
        <v>29</v>
      </c>
      <c r="D32" s="4" t="s">
        <v>21</v>
      </c>
      <c r="E32" s="4" t="s">
        <v>12</v>
      </c>
      <c r="F32" s="4" t="s">
        <v>13</v>
      </c>
      <c r="G32" s="2">
        <v>2</v>
      </c>
      <c r="H32" s="2">
        <v>55000</v>
      </c>
      <c r="I32" s="6">
        <v>0.05</v>
      </c>
      <c r="J32">
        <f t="shared" si="3"/>
        <v>110000</v>
      </c>
      <c r="K32" s="9">
        <f t="shared" si="0"/>
        <v>0.95</v>
      </c>
      <c r="L32">
        <f t="shared" si="1"/>
        <v>104500</v>
      </c>
      <c r="M32">
        <f t="shared" si="2"/>
        <v>104500</v>
      </c>
    </row>
    <row r="33" spans="1:13">
      <c r="A33" s="4" t="s">
        <v>54</v>
      </c>
      <c r="B33" s="5">
        <v>45986</v>
      </c>
      <c r="C33" s="4" t="s">
        <v>10</v>
      </c>
      <c r="D33" s="4" t="s">
        <v>24</v>
      </c>
      <c r="E33" s="4" t="s">
        <v>22</v>
      </c>
      <c r="F33" s="4" t="s">
        <v>18</v>
      </c>
      <c r="G33" s="2">
        <v>22</v>
      </c>
      <c r="H33" s="2">
        <v>1500</v>
      </c>
      <c r="I33" s="6">
        <v>0.1</v>
      </c>
      <c r="J33">
        <f t="shared" si="3"/>
        <v>33000</v>
      </c>
      <c r="K33" s="9">
        <f t="shared" si="0"/>
        <v>0.9</v>
      </c>
      <c r="L33">
        <f t="shared" si="1"/>
        <v>29700</v>
      </c>
      <c r="M33">
        <f t="shared" si="2"/>
        <v>29700</v>
      </c>
    </row>
    <row r="34" spans="1:13">
      <c r="A34" s="4" t="s">
        <v>55</v>
      </c>
      <c r="B34" s="5">
        <v>45996</v>
      </c>
      <c r="C34" s="4" t="s">
        <v>15</v>
      </c>
      <c r="D34" s="4" t="s">
        <v>11</v>
      </c>
      <c r="E34" s="4" t="s">
        <v>25</v>
      </c>
      <c r="F34" s="4" t="s">
        <v>13</v>
      </c>
      <c r="G34" s="2">
        <v>8</v>
      </c>
      <c r="H34" s="2">
        <v>18000</v>
      </c>
      <c r="I34" s="6">
        <v>0.05</v>
      </c>
      <c r="J34">
        <f t="shared" si="3"/>
        <v>144000</v>
      </c>
      <c r="K34" s="9">
        <f t="shared" si="0"/>
        <v>0.95</v>
      </c>
      <c r="L34">
        <f t="shared" si="1"/>
        <v>136800</v>
      </c>
      <c r="M34">
        <f t="shared" si="2"/>
        <v>136800</v>
      </c>
    </row>
    <row r="35" spans="1:13">
      <c r="A35" s="4" t="s">
        <v>56</v>
      </c>
      <c r="B35" s="5">
        <v>46007</v>
      </c>
      <c r="C35" s="4" t="s">
        <v>20</v>
      </c>
      <c r="D35" s="4" t="s">
        <v>16</v>
      </c>
      <c r="E35" s="4" t="s">
        <v>12</v>
      </c>
      <c r="F35" s="4" t="s">
        <v>13</v>
      </c>
      <c r="G35" s="2">
        <v>4</v>
      </c>
      <c r="H35" s="2">
        <v>55000</v>
      </c>
      <c r="I35" s="6">
        <v>0.08</v>
      </c>
      <c r="J35">
        <f t="shared" si="3"/>
        <v>220000</v>
      </c>
      <c r="K35" s="9">
        <f t="shared" si="0"/>
        <v>0.92</v>
      </c>
      <c r="L35">
        <f t="shared" si="1"/>
        <v>202400</v>
      </c>
      <c r="M35">
        <f t="shared" si="2"/>
        <v>202400</v>
      </c>
    </row>
    <row r="36" spans="1:13">
      <c r="A36" s="4" t="s">
        <v>57</v>
      </c>
      <c r="B36" s="5">
        <v>46018</v>
      </c>
      <c r="C36" s="4" t="s">
        <v>29</v>
      </c>
      <c r="D36" s="4" t="s">
        <v>21</v>
      </c>
      <c r="E36" s="4" t="s">
        <v>17</v>
      </c>
      <c r="F36" s="4" t="s">
        <v>18</v>
      </c>
      <c r="G36" s="2">
        <v>45</v>
      </c>
      <c r="H36" s="2">
        <v>800</v>
      </c>
      <c r="I36" s="6">
        <v>0.05</v>
      </c>
      <c r="J36">
        <f t="shared" si="3"/>
        <v>36000</v>
      </c>
      <c r="K36" s="9">
        <f t="shared" si="0"/>
        <v>0.95</v>
      </c>
      <c r="L36">
        <f t="shared" si="1"/>
        <v>34200</v>
      </c>
      <c r="M36">
        <f t="shared" si="2"/>
        <v>34200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985C7-2E17-4FFC-8FBC-94B17B1381A4}">
  <dimension ref="A1:B27"/>
  <sheetViews>
    <sheetView workbookViewId="0">
      <selection activeCell="A22" sqref="A22"/>
    </sheetView>
  </sheetViews>
  <sheetFormatPr defaultRowHeight="14.25"/>
  <cols>
    <col min="1" max="1" width="13.125" bestFit="1" customWidth="1"/>
    <col min="2" max="2" width="15" bestFit="1" customWidth="1"/>
  </cols>
  <sheetData>
    <row r="1" spans="1:2" ht="15">
      <c r="A1" s="13" t="s">
        <v>66</v>
      </c>
    </row>
    <row r="4" spans="1:2">
      <c r="A4" s="7" t="s">
        <v>58</v>
      </c>
      <c r="B4" t="s">
        <v>65</v>
      </c>
    </row>
    <row r="5" spans="1:2">
      <c r="A5" s="8" t="s">
        <v>22</v>
      </c>
      <c r="B5" s="11">
        <v>105</v>
      </c>
    </row>
    <row r="6" spans="1:2">
      <c r="A6" s="8" t="s">
        <v>12</v>
      </c>
      <c r="B6" s="11">
        <v>34</v>
      </c>
    </row>
    <row r="7" spans="1:2">
      <c r="A7" s="8" t="s">
        <v>25</v>
      </c>
      <c r="B7" s="11">
        <v>45</v>
      </c>
    </row>
    <row r="8" spans="1:2">
      <c r="A8" s="8" t="s">
        <v>17</v>
      </c>
      <c r="B8" s="11">
        <v>220</v>
      </c>
    </row>
    <row r="9" spans="1:2">
      <c r="A9" s="8" t="s">
        <v>59</v>
      </c>
      <c r="B9" s="11">
        <v>404</v>
      </c>
    </row>
    <row r="12" spans="1:2" s="13" customFormat="1" ht="15">
      <c r="A12" s="14" t="s">
        <v>67</v>
      </c>
    </row>
    <row r="14" spans="1:2">
      <c r="A14" s="8" t="s">
        <v>11</v>
      </c>
      <c r="B14" s="11">
        <v>76</v>
      </c>
    </row>
    <row r="15" spans="1:2">
      <c r="A15" s="8" t="s">
        <v>24</v>
      </c>
      <c r="B15" s="11">
        <v>58</v>
      </c>
    </row>
    <row r="16" spans="1:2">
      <c r="A16" s="8" t="s">
        <v>16</v>
      </c>
      <c r="B16" s="11">
        <v>131</v>
      </c>
    </row>
    <row r="17" spans="1:2">
      <c r="A17" s="8" t="s">
        <v>21</v>
      </c>
      <c r="B17" s="11">
        <v>139</v>
      </c>
    </row>
    <row r="18" spans="1:2" ht="15">
      <c r="A18" s="15" t="s">
        <v>59</v>
      </c>
      <c r="B18" s="16">
        <v>404</v>
      </c>
    </row>
    <row r="23" spans="1:2" ht="15">
      <c r="A23" s="12"/>
    </row>
    <row r="24" spans="1:2">
      <c r="A24" s="8" t="s">
        <v>11</v>
      </c>
      <c r="B24" s="11">
        <v>9</v>
      </c>
    </row>
    <row r="25" spans="1:2">
      <c r="A25" s="8" t="s">
        <v>24</v>
      </c>
      <c r="B25" s="11">
        <v>8</v>
      </c>
    </row>
    <row r="26" spans="1:2">
      <c r="A26" s="8" t="s">
        <v>16</v>
      </c>
      <c r="B26" s="11">
        <v>9</v>
      </c>
    </row>
    <row r="27" spans="1:2">
      <c r="A27" s="8" t="s">
        <v>21</v>
      </c>
      <c r="B27" s="11">
        <v>9</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A95C2-ADB3-4DD0-84A6-811CBD601688}">
  <dimension ref="A3:D9"/>
  <sheetViews>
    <sheetView workbookViewId="0">
      <selection activeCell="A5" sqref="A5:A8"/>
      <pivotSelection pane="bottomRight" showHeader="1" activeRow="4" click="1" r:id="rId1">
        <pivotArea dataOnly="0" labelOnly="1" fieldPosition="0">
          <references count="1">
            <reference field="0" count="0"/>
          </references>
        </pivotArea>
      </pivotSelection>
    </sheetView>
  </sheetViews>
  <sheetFormatPr defaultRowHeight="14.25"/>
  <cols>
    <col min="1" max="1" width="15" bestFit="1" customWidth="1"/>
    <col min="2" max="2" width="16.125" bestFit="1" customWidth="1"/>
    <col min="3" max="3" width="10.875" bestFit="1" customWidth="1"/>
    <col min="4" max="4" width="11.375" bestFit="1" customWidth="1"/>
    <col min="5" max="5" width="6.875" bestFit="1" customWidth="1"/>
    <col min="6" max="6" width="11.375" bestFit="1" customWidth="1"/>
  </cols>
  <sheetData>
    <row r="3" spans="1:4">
      <c r="A3" s="7" t="s">
        <v>65</v>
      </c>
      <c r="B3" s="7" t="s">
        <v>68</v>
      </c>
    </row>
    <row r="4" spans="1:4">
      <c r="A4" s="7" t="s">
        <v>58</v>
      </c>
      <c r="B4" t="s">
        <v>18</v>
      </c>
      <c r="C4" t="s">
        <v>13</v>
      </c>
      <c r="D4" t="s">
        <v>59</v>
      </c>
    </row>
    <row r="5" spans="1:4">
      <c r="A5" s="8" t="s">
        <v>11</v>
      </c>
      <c r="B5" s="11">
        <v>45</v>
      </c>
      <c r="C5" s="11">
        <v>31</v>
      </c>
      <c r="D5" s="11">
        <v>76</v>
      </c>
    </row>
    <row r="6" spans="1:4">
      <c r="A6" s="8" t="s">
        <v>24</v>
      </c>
      <c r="B6" s="11">
        <v>32</v>
      </c>
      <c r="C6" s="11">
        <v>26</v>
      </c>
      <c r="D6" s="11">
        <v>58</v>
      </c>
    </row>
    <row r="7" spans="1:4">
      <c r="A7" s="8" t="s">
        <v>16</v>
      </c>
      <c r="B7" s="11">
        <v>118</v>
      </c>
      <c r="C7" s="11">
        <v>13</v>
      </c>
      <c r="D7" s="11">
        <v>131</v>
      </c>
    </row>
    <row r="8" spans="1:4">
      <c r="A8" s="8" t="s">
        <v>21</v>
      </c>
      <c r="B8" s="11">
        <v>130</v>
      </c>
      <c r="C8" s="11">
        <v>9</v>
      </c>
      <c r="D8" s="11">
        <v>139</v>
      </c>
    </row>
    <row r="9" spans="1:4">
      <c r="A9" s="8" t="s">
        <v>59</v>
      </c>
      <c r="B9" s="11">
        <v>325</v>
      </c>
      <c r="C9" s="11">
        <v>79</v>
      </c>
      <c r="D9" s="11">
        <v>404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0EE1A-FEA2-4465-93B1-9DB8027DFD60}">
  <dimension ref="A3:B5"/>
  <sheetViews>
    <sheetView tabSelected="1" workbookViewId="0">
      <selection activeCell="A3" sqref="A3"/>
    </sheetView>
  </sheetViews>
  <sheetFormatPr defaultRowHeight="14.25"/>
  <cols>
    <col min="1" max="1" width="13.125" bestFit="1" customWidth="1"/>
    <col min="2" max="2" width="15.75" bestFit="1" customWidth="1"/>
    <col min="3" max="3" width="22.125" bestFit="1" customWidth="1"/>
    <col min="4" max="4" width="11.375" bestFit="1" customWidth="1"/>
  </cols>
  <sheetData>
    <row r="3" spans="1:2">
      <c r="A3" s="7" t="s">
        <v>58</v>
      </c>
      <c r="B3" t="s">
        <v>70</v>
      </c>
    </row>
    <row r="4" spans="1:2">
      <c r="A4" s="8" t="s">
        <v>11</v>
      </c>
      <c r="B4" s="11">
        <v>24000</v>
      </c>
    </row>
    <row r="5" spans="1:2">
      <c r="A5" s="8" t="s">
        <v>59</v>
      </c>
      <c r="B5" s="11">
        <v>24000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377CD-D12C-4573-AF44-081FE31EC4C4}">
  <dimension ref="A1:G36"/>
  <sheetViews>
    <sheetView workbookViewId="0">
      <selection activeCell="G2" sqref="G2:G36"/>
    </sheetView>
  </sheetViews>
  <sheetFormatPr defaultRowHeight="14.25"/>
  <cols>
    <col min="1" max="1" width="11.875" customWidth="1"/>
    <col min="2" max="2" width="12.25" customWidth="1"/>
    <col min="3" max="3" width="11.875" customWidth="1"/>
    <col min="4" max="4" width="11.375" customWidth="1"/>
    <col min="5" max="5" width="13.375" customWidth="1"/>
    <col min="6" max="6" width="11.25" customWidth="1"/>
  </cols>
  <sheetData>
    <row r="1" spans="1:7" ht="30">
      <c r="A1" s="1" t="s">
        <v>3</v>
      </c>
      <c r="B1" s="1" t="s">
        <v>4</v>
      </c>
      <c r="C1" s="1" t="s">
        <v>5</v>
      </c>
      <c r="D1" s="3" t="s">
        <v>6</v>
      </c>
      <c r="E1" s="3" t="s">
        <v>7</v>
      </c>
      <c r="F1" s="3" t="s">
        <v>8</v>
      </c>
      <c r="G1" s="17" t="s">
        <v>69</v>
      </c>
    </row>
    <row r="2" spans="1:7">
      <c r="A2" s="4" t="s">
        <v>11</v>
      </c>
      <c r="B2" s="4" t="s">
        <v>12</v>
      </c>
      <c r="C2" s="4" t="s">
        <v>13</v>
      </c>
      <c r="D2" s="2">
        <v>2</v>
      </c>
      <c r="E2" s="2">
        <v>55000</v>
      </c>
      <c r="F2" s="6">
        <v>0.05</v>
      </c>
      <c r="G2">
        <f>E2*D2</f>
        <v>110000</v>
      </c>
    </row>
    <row r="3" spans="1:7" ht="28.5">
      <c r="A3" s="4" t="s">
        <v>16</v>
      </c>
      <c r="B3" s="4" t="s">
        <v>17</v>
      </c>
      <c r="C3" s="4" t="s">
        <v>18</v>
      </c>
      <c r="D3" s="2">
        <v>10</v>
      </c>
      <c r="E3" s="2">
        <v>800</v>
      </c>
      <c r="F3" s="6">
        <v>0</v>
      </c>
      <c r="G3">
        <f t="shared" ref="G3:G36" si="0">E3*D3</f>
        <v>8000</v>
      </c>
    </row>
    <row r="4" spans="1:7" ht="28.5">
      <c r="A4" s="4" t="s">
        <v>21</v>
      </c>
      <c r="B4" s="4" t="s">
        <v>22</v>
      </c>
      <c r="C4" s="4" t="s">
        <v>18</v>
      </c>
      <c r="D4" s="2">
        <v>8</v>
      </c>
      <c r="E4" s="2">
        <v>1500</v>
      </c>
      <c r="F4" s="6">
        <v>0.1</v>
      </c>
      <c r="G4">
        <f t="shared" si="0"/>
        <v>12000</v>
      </c>
    </row>
    <row r="5" spans="1:7" ht="28.5">
      <c r="A5" s="4" t="s">
        <v>24</v>
      </c>
      <c r="B5" s="4" t="s">
        <v>25</v>
      </c>
      <c r="C5" s="4" t="s">
        <v>13</v>
      </c>
      <c r="D5" s="2">
        <v>4</v>
      </c>
      <c r="E5" s="2">
        <v>18000</v>
      </c>
      <c r="F5" s="6">
        <v>0.05</v>
      </c>
      <c r="G5">
        <f t="shared" si="0"/>
        <v>72000</v>
      </c>
    </row>
    <row r="6" spans="1:7" ht="28.5">
      <c r="A6" s="4" t="s">
        <v>11</v>
      </c>
      <c r="B6" s="4" t="s">
        <v>12</v>
      </c>
      <c r="C6" s="4" t="s">
        <v>13</v>
      </c>
      <c r="D6" s="2">
        <v>3</v>
      </c>
      <c r="E6" s="2">
        <v>55000</v>
      </c>
      <c r="F6" s="6">
        <v>0.08</v>
      </c>
      <c r="G6">
        <f t="shared" si="0"/>
        <v>165000</v>
      </c>
    </row>
    <row r="7" spans="1:7" ht="28.5">
      <c r="A7" s="4" t="s">
        <v>16</v>
      </c>
      <c r="B7" s="4" t="s">
        <v>17</v>
      </c>
      <c r="C7" s="4" t="s">
        <v>18</v>
      </c>
      <c r="D7" s="2">
        <v>15</v>
      </c>
      <c r="E7" s="2">
        <v>800</v>
      </c>
      <c r="F7" s="6">
        <v>0.05</v>
      </c>
      <c r="G7">
        <f t="shared" si="0"/>
        <v>12000</v>
      </c>
    </row>
    <row r="8" spans="1:7" ht="28.5">
      <c r="A8" s="4" t="s">
        <v>21</v>
      </c>
      <c r="B8" s="4" t="s">
        <v>22</v>
      </c>
      <c r="C8" s="4" t="s">
        <v>18</v>
      </c>
      <c r="D8" s="2">
        <v>12</v>
      </c>
      <c r="E8" s="2">
        <v>1500</v>
      </c>
      <c r="F8" s="6">
        <v>0</v>
      </c>
      <c r="G8">
        <f t="shared" si="0"/>
        <v>18000</v>
      </c>
    </row>
    <row r="9" spans="1:7" ht="28.5">
      <c r="A9" s="4" t="s">
        <v>24</v>
      </c>
      <c r="B9" s="4" t="s">
        <v>12</v>
      </c>
      <c r="C9" s="4" t="s">
        <v>13</v>
      </c>
      <c r="D9" s="2">
        <v>2</v>
      </c>
      <c r="E9" s="2">
        <v>55000</v>
      </c>
      <c r="F9" s="6">
        <v>0.1</v>
      </c>
      <c r="G9">
        <f t="shared" si="0"/>
        <v>110000</v>
      </c>
    </row>
    <row r="10" spans="1:7" ht="28.5">
      <c r="A10" s="4" t="s">
        <v>11</v>
      </c>
      <c r="B10" s="4" t="s">
        <v>25</v>
      </c>
      <c r="C10" s="4" t="s">
        <v>13</v>
      </c>
      <c r="D10" s="2">
        <v>5</v>
      </c>
      <c r="E10" s="2">
        <v>18000</v>
      </c>
      <c r="F10" s="6">
        <v>0.05</v>
      </c>
      <c r="G10">
        <f t="shared" si="0"/>
        <v>90000</v>
      </c>
    </row>
    <row r="11" spans="1:7" ht="28.5">
      <c r="A11" s="4" t="s">
        <v>16</v>
      </c>
      <c r="B11" s="4" t="s">
        <v>12</v>
      </c>
      <c r="C11" s="4" t="s">
        <v>13</v>
      </c>
      <c r="D11" s="2">
        <v>4</v>
      </c>
      <c r="E11" s="2">
        <v>55000</v>
      </c>
      <c r="F11" s="6">
        <v>0.05</v>
      </c>
      <c r="G11">
        <f t="shared" si="0"/>
        <v>220000</v>
      </c>
    </row>
    <row r="12" spans="1:7" ht="28.5">
      <c r="A12" s="4" t="s">
        <v>21</v>
      </c>
      <c r="B12" s="4" t="s">
        <v>17</v>
      </c>
      <c r="C12" s="4" t="s">
        <v>18</v>
      </c>
      <c r="D12" s="2">
        <v>20</v>
      </c>
      <c r="E12" s="2">
        <v>800</v>
      </c>
      <c r="F12" s="6">
        <v>0</v>
      </c>
      <c r="G12">
        <f t="shared" si="0"/>
        <v>16000</v>
      </c>
    </row>
    <row r="13" spans="1:7" ht="28.5">
      <c r="A13" s="4" t="s">
        <v>24</v>
      </c>
      <c r="B13" s="4" t="s">
        <v>22</v>
      </c>
      <c r="C13" s="4" t="s">
        <v>18</v>
      </c>
      <c r="D13" s="2">
        <v>10</v>
      </c>
      <c r="E13" s="2">
        <v>1500</v>
      </c>
      <c r="F13" s="6">
        <v>0.1</v>
      </c>
      <c r="G13">
        <f t="shared" si="0"/>
        <v>15000</v>
      </c>
    </row>
    <row r="14" spans="1:7" ht="28.5">
      <c r="A14" s="4" t="s">
        <v>11</v>
      </c>
      <c r="B14" s="4" t="s">
        <v>25</v>
      </c>
      <c r="C14" s="4" t="s">
        <v>13</v>
      </c>
      <c r="D14" s="2">
        <v>6</v>
      </c>
      <c r="E14" s="2">
        <v>18000</v>
      </c>
      <c r="F14" s="6">
        <v>0.05</v>
      </c>
      <c r="G14">
        <f t="shared" si="0"/>
        <v>108000</v>
      </c>
    </row>
    <row r="15" spans="1:7" ht="28.5">
      <c r="A15" s="4" t="s">
        <v>16</v>
      </c>
      <c r="B15" s="4" t="s">
        <v>12</v>
      </c>
      <c r="C15" s="4" t="s">
        <v>13</v>
      </c>
      <c r="D15" s="2">
        <v>2</v>
      </c>
      <c r="E15" s="2">
        <v>55000</v>
      </c>
      <c r="F15" s="6">
        <v>0.08</v>
      </c>
      <c r="G15">
        <f t="shared" si="0"/>
        <v>110000</v>
      </c>
    </row>
    <row r="16" spans="1:7" ht="28.5">
      <c r="A16" s="4" t="s">
        <v>21</v>
      </c>
      <c r="B16" s="4" t="s">
        <v>17</v>
      </c>
      <c r="C16" s="4" t="s">
        <v>18</v>
      </c>
      <c r="D16" s="2">
        <v>25</v>
      </c>
      <c r="E16" s="2">
        <v>800</v>
      </c>
      <c r="F16" s="6">
        <v>0.05</v>
      </c>
      <c r="G16">
        <f t="shared" si="0"/>
        <v>20000</v>
      </c>
    </row>
    <row r="17" spans="1:7" ht="28.5">
      <c r="A17" s="4" t="s">
        <v>24</v>
      </c>
      <c r="B17" s="4" t="s">
        <v>25</v>
      </c>
      <c r="C17" s="4" t="s">
        <v>13</v>
      </c>
      <c r="D17" s="2">
        <v>5</v>
      </c>
      <c r="E17" s="2">
        <v>18000</v>
      </c>
      <c r="F17" s="6">
        <v>0</v>
      </c>
      <c r="G17">
        <f t="shared" si="0"/>
        <v>90000</v>
      </c>
    </row>
    <row r="18" spans="1:7" ht="28.5">
      <c r="A18" s="4" t="s">
        <v>11</v>
      </c>
      <c r="B18" s="4" t="s">
        <v>22</v>
      </c>
      <c r="C18" s="4" t="s">
        <v>18</v>
      </c>
      <c r="D18" s="2">
        <v>15</v>
      </c>
      <c r="E18" s="2">
        <v>1500</v>
      </c>
      <c r="F18" s="6">
        <v>0.1</v>
      </c>
      <c r="G18">
        <f t="shared" si="0"/>
        <v>22500</v>
      </c>
    </row>
    <row r="19" spans="1:7" ht="28.5">
      <c r="A19" s="4" t="s">
        <v>16</v>
      </c>
      <c r="B19" s="4" t="s">
        <v>12</v>
      </c>
      <c r="C19" s="4" t="s">
        <v>13</v>
      </c>
      <c r="D19" s="2">
        <v>3</v>
      </c>
      <c r="E19" s="2">
        <v>55000</v>
      </c>
      <c r="F19" s="6">
        <v>0.05</v>
      </c>
      <c r="G19">
        <f t="shared" si="0"/>
        <v>165000</v>
      </c>
    </row>
    <row r="20" spans="1:7" ht="28.5">
      <c r="A20" s="4" t="s">
        <v>21</v>
      </c>
      <c r="B20" s="4" t="s">
        <v>25</v>
      </c>
      <c r="C20" s="4" t="s">
        <v>13</v>
      </c>
      <c r="D20" s="2">
        <v>4</v>
      </c>
      <c r="E20" s="2">
        <v>18000</v>
      </c>
      <c r="F20" s="6">
        <v>0.05</v>
      </c>
      <c r="G20">
        <f t="shared" si="0"/>
        <v>72000</v>
      </c>
    </row>
    <row r="21" spans="1:7" ht="28.5">
      <c r="A21" s="4" t="s">
        <v>24</v>
      </c>
      <c r="B21" s="4" t="s">
        <v>12</v>
      </c>
      <c r="C21" s="4" t="s">
        <v>13</v>
      </c>
      <c r="D21" s="2">
        <v>2</v>
      </c>
      <c r="E21" s="2">
        <v>55000</v>
      </c>
      <c r="F21" s="6">
        <v>0.1</v>
      </c>
      <c r="G21">
        <f t="shared" si="0"/>
        <v>110000</v>
      </c>
    </row>
    <row r="22" spans="1:7" ht="28.5">
      <c r="A22" s="4" t="s">
        <v>11</v>
      </c>
      <c r="B22" s="4" t="s">
        <v>17</v>
      </c>
      <c r="C22" s="4" t="s">
        <v>18</v>
      </c>
      <c r="D22" s="2">
        <v>30</v>
      </c>
      <c r="E22" s="2">
        <v>800</v>
      </c>
      <c r="F22" s="6">
        <v>0</v>
      </c>
      <c r="G22">
        <f t="shared" si="0"/>
        <v>24000</v>
      </c>
    </row>
    <row r="23" spans="1:7" ht="28.5">
      <c r="A23" s="4" t="s">
        <v>16</v>
      </c>
      <c r="B23" s="4" t="s">
        <v>22</v>
      </c>
      <c r="C23" s="4" t="s">
        <v>18</v>
      </c>
      <c r="D23" s="2">
        <v>18</v>
      </c>
      <c r="E23" s="2">
        <v>1500</v>
      </c>
      <c r="F23" s="6">
        <v>0.05</v>
      </c>
      <c r="G23">
        <f t="shared" si="0"/>
        <v>27000</v>
      </c>
    </row>
    <row r="24" spans="1:7" ht="28.5">
      <c r="A24" s="4" t="s">
        <v>21</v>
      </c>
      <c r="B24" s="4" t="s">
        <v>12</v>
      </c>
      <c r="C24" s="4" t="s">
        <v>13</v>
      </c>
      <c r="D24" s="2">
        <v>3</v>
      </c>
      <c r="E24" s="2">
        <v>55000</v>
      </c>
      <c r="F24" s="6">
        <v>0.08</v>
      </c>
      <c r="G24">
        <f t="shared" si="0"/>
        <v>165000</v>
      </c>
    </row>
    <row r="25" spans="1:7" ht="28.5">
      <c r="A25" s="4" t="s">
        <v>24</v>
      </c>
      <c r="B25" s="4" t="s">
        <v>25</v>
      </c>
      <c r="C25" s="4" t="s">
        <v>13</v>
      </c>
      <c r="D25" s="2">
        <v>6</v>
      </c>
      <c r="E25" s="2">
        <v>18000</v>
      </c>
      <c r="F25" s="6">
        <v>0.05</v>
      </c>
      <c r="G25">
        <f t="shared" si="0"/>
        <v>108000</v>
      </c>
    </row>
    <row r="26" spans="1:7" ht="28.5">
      <c r="A26" s="4" t="s">
        <v>11</v>
      </c>
      <c r="B26" s="4" t="s">
        <v>12</v>
      </c>
      <c r="C26" s="4" t="s">
        <v>13</v>
      </c>
      <c r="D26" s="2">
        <v>4</v>
      </c>
      <c r="E26" s="2">
        <v>55000</v>
      </c>
      <c r="F26" s="6">
        <v>0.1</v>
      </c>
      <c r="G26">
        <f t="shared" si="0"/>
        <v>220000</v>
      </c>
    </row>
    <row r="27" spans="1:7" ht="28.5">
      <c r="A27" s="4" t="s">
        <v>16</v>
      </c>
      <c r="B27" s="4" t="s">
        <v>17</v>
      </c>
      <c r="C27" s="4" t="s">
        <v>18</v>
      </c>
      <c r="D27" s="2">
        <v>35</v>
      </c>
      <c r="E27" s="2">
        <v>800</v>
      </c>
      <c r="F27" s="6">
        <v>0.05</v>
      </c>
      <c r="G27">
        <f t="shared" si="0"/>
        <v>28000</v>
      </c>
    </row>
    <row r="28" spans="1:7" ht="28.5">
      <c r="A28" s="4" t="s">
        <v>21</v>
      </c>
      <c r="B28" s="4" t="s">
        <v>22</v>
      </c>
      <c r="C28" s="4" t="s">
        <v>18</v>
      </c>
      <c r="D28" s="2">
        <v>20</v>
      </c>
      <c r="E28" s="2">
        <v>1500</v>
      </c>
      <c r="F28" s="6">
        <v>0</v>
      </c>
      <c r="G28">
        <f t="shared" si="0"/>
        <v>30000</v>
      </c>
    </row>
    <row r="29" spans="1:7" ht="28.5">
      <c r="A29" s="4" t="s">
        <v>24</v>
      </c>
      <c r="B29" s="4" t="s">
        <v>25</v>
      </c>
      <c r="C29" s="4" t="s">
        <v>13</v>
      </c>
      <c r="D29" s="2">
        <v>7</v>
      </c>
      <c r="E29" s="2">
        <v>18000</v>
      </c>
      <c r="F29" s="6">
        <v>0.05</v>
      </c>
      <c r="G29">
        <f t="shared" si="0"/>
        <v>126000</v>
      </c>
    </row>
    <row r="30" spans="1:7" ht="28.5">
      <c r="A30" s="4" t="s">
        <v>11</v>
      </c>
      <c r="B30" s="4" t="s">
        <v>12</v>
      </c>
      <c r="C30" s="4" t="s">
        <v>13</v>
      </c>
      <c r="D30" s="2">
        <v>3</v>
      </c>
      <c r="E30" s="2">
        <v>55000</v>
      </c>
      <c r="F30" s="6">
        <v>0.08</v>
      </c>
      <c r="G30">
        <f t="shared" si="0"/>
        <v>165000</v>
      </c>
    </row>
    <row r="31" spans="1:7" ht="28.5">
      <c r="A31" s="4" t="s">
        <v>16</v>
      </c>
      <c r="B31" s="4" t="s">
        <v>17</v>
      </c>
      <c r="C31" s="4" t="s">
        <v>18</v>
      </c>
      <c r="D31" s="2">
        <v>40</v>
      </c>
      <c r="E31" s="2">
        <v>800</v>
      </c>
      <c r="F31" s="6">
        <v>0</v>
      </c>
      <c r="G31">
        <f t="shared" si="0"/>
        <v>32000</v>
      </c>
    </row>
    <row r="32" spans="1:7" ht="28.5">
      <c r="A32" s="4" t="s">
        <v>21</v>
      </c>
      <c r="B32" s="4" t="s">
        <v>12</v>
      </c>
      <c r="C32" s="4" t="s">
        <v>13</v>
      </c>
      <c r="D32" s="2">
        <v>2</v>
      </c>
      <c r="E32" s="2">
        <v>55000</v>
      </c>
      <c r="F32" s="6">
        <v>0.05</v>
      </c>
      <c r="G32">
        <f t="shared" si="0"/>
        <v>110000</v>
      </c>
    </row>
    <row r="33" spans="1:7" ht="28.5">
      <c r="A33" s="4" t="s">
        <v>24</v>
      </c>
      <c r="B33" s="4" t="s">
        <v>22</v>
      </c>
      <c r="C33" s="4" t="s">
        <v>18</v>
      </c>
      <c r="D33" s="2">
        <v>22</v>
      </c>
      <c r="E33" s="2">
        <v>1500</v>
      </c>
      <c r="F33" s="6">
        <v>0.1</v>
      </c>
      <c r="G33">
        <f t="shared" si="0"/>
        <v>33000</v>
      </c>
    </row>
    <row r="34" spans="1:7" ht="28.5">
      <c r="A34" s="4" t="s">
        <v>11</v>
      </c>
      <c r="B34" s="4" t="s">
        <v>25</v>
      </c>
      <c r="C34" s="4" t="s">
        <v>13</v>
      </c>
      <c r="D34" s="2">
        <v>8</v>
      </c>
      <c r="E34" s="2">
        <v>18000</v>
      </c>
      <c r="F34" s="6">
        <v>0.05</v>
      </c>
      <c r="G34">
        <f t="shared" si="0"/>
        <v>144000</v>
      </c>
    </row>
    <row r="35" spans="1:7" ht="28.5">
      <c r="A35" s="4" t="s">
        <v>16</v>
      </c>
      <c r="B35" s="4" t="s">
        <v>12</v>
      </c>
      <c r="C35" s="4" t="s">
        <v>13</v>
      </c>
      <c r="D35" s="2">
        <v>4</v>
      </c>
      <c r="E35" s="2">
        <v>55000</v>
      </c>
      <c r="F35" s="6">
        <v>0.08</v>
      </c>
      <c r="G35">
        <f t="shared" si="0"/>
        <v>220000</v>
      </c>
    </row>
    <row r="36" spans="1:7" ht="28.5">
      <c r="A36" s="4" t="s">
        <v>21</v>
      </c>
      <c r="B36" s="4" t="s">
        <v>17</v>
      </c>
      <c r="C36" s="4" t="s">
        <v>18</v>
      </c>
      <c r="D36" s="2">
        <v>45</v>
      </c>
      <c r="E36" s="2">
        <v>800</v>
      </c>
      <c r="F36" s="6">
        <v>0.05</v>
      </c>
      <c r="G36">
        <f t="shared" si="0"/>
        <v>36000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Sheet3</vt:lpstr>
      <vt:lpstr>Sheet4</vt:lpstr>
      <vt:lpstr>sales_data</vt:lpstr>
      <vt:lpstr>DATA</vt:lpstr>
      <vt:lpstr>Pivot</vt:lpstr>
      <vt:lpstr>Sheet7</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Dishant Shah</dc:creator>
  <cp:lastModifiedBy>Suyog Hedau</cp:lastModifiedBy>
  <dcterms:created xsi:type="dcterms:W3CDTF">2026-09-05T00:37:19Z</dcterms:created>
  <dcterms:modified xsi:type="dcterms:W3CDTF">2026-09-07T16:42:32Z</dcterms:modified>
</cp:coreProperties>
</file>