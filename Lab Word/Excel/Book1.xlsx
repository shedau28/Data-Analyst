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Lab Word\Excel\"/>
    </mc:Choice>
  </mc:AlternateContent>
  <xr:revisionPtr revIDLastSave="0" documentId="13_ncr:1_{9FE8E996-4769-45B4-AC29-C5992FD8793C}" xr6:coauthVersionLast="47" xr6:coauthVersionMax="47" xr10:uidLastSave="{00000000-0000-0000-0000-000000000000}"/>
  <bookViews>
    <workbookView xWindow="-120" yWindow="-120" windowWidth="29040" windowHeight="15720" xr2:uid="{F86CC487-1D9D-4CF5-9944-7EEC23FCE598}"/>
  </bookViews>
  <sheets>
    <sheet name="Sales Data" sheetId="1" r:id="rId1"/>
    <sheet name="Products" sheetId="2" r:id="rId2"/>
    <sheet name="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C4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2" i="1"/>
  <c r="D45" i="1"/>
  <c r="D44" i="1"/>
  <c r="E43" i="1"/>
  <c r="D42" i="1"/>
  <c r="E41" i="1"/>
  <c r="E40" i="1"/>
  <c r="D39" i="1"/>
  <c r="D36" i="1"/>
  <c r="E38" i="1"/>
  <c r="E37" i="1"/>
  <c r="D35" i="1"/>
  <c r="C34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R27" i="1" s="1"/>
  <c r="Q28" i="1"/>
  <c r="Q29" i="1"/>
  <c r="Q30" i="1"/>
  <c r="Q3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</calcChain>
</file>

<file path=xl/sharedStrings.xml><?xml version="1.0" encoding="utf-8"?>
<sst xmlns="http://schemas.openxmlformats.org/spreadsheetml/2006/main" count="327" uniqueCount="139">
  <si>
    <t>Product_ID</t>
  </si>
  <si>
    <t>Product_Name</t>
  </si>
  <si>
    <t>Category</t>
  </si>
  <si>
    <t>Cost_Price</t>
  </si>
  <si>
    <t>Supplier</t>
  </si>
  <si>
    <t>P101</t>
  </si>
  <si>
    <t>Laptop Stand</t>
  </si>
  <si>
    <t>Accessories</t>
  </si>
  <si>
    <t>TechWorld</t>
  </si>
  <si>
    <t>P102</t>
  </si>
  <si>
    <t>Wireless Mouse</t>
  </si>
  <si>
    <t>CompuMart</t>
  </si>
  <si>
    <t>P103</t>
  </si>
  <si>
    <t>Mechanical Keyboard</t>
  </si>
  <si>
    <t>KeyTech</t>
  </si>
  <si>
    <t>P104</t>
  </si>
  <si>
    <t>Monitor</t>
  </si>
  <si>
    <t>Electronics</t>
  </si>
  <si>
    <t>DisplayHub</t>
  </si>
  <si>
    <t>P105</t>
  </si>
  <si>
    <t>Office Chair</t>
  </si>
  <si>
    <t>Furniture</t>
  </si>
  <si>
    <t>FurniPro</t>
  </si>
  <si>
    <t>P106</t>
  </si>
  <si>
    <t>Desk Lamp</t>
  </si>
  <si>
    <t>LightHouse</t>
  </si>
  <si>
    <t>Customer_ID</t>
  </si>
  <si>
    <t>Customer_Name</t>
  </si>
  <si>
    <t>Age</t>
  </si>
  <si>
    <t>Gender</t>
  </si>
  <si>
    <t>City</t>
  </si>
  <si>
    <t>Customer_Segment</t>
  </si>
  <si>
    <t>CUST001</t>
  </si>
  <si>
    <t>Aarav Sharma</t>
  </si>
  <si>
    <t>Male</t>
  </si>
  <si>
    <t>Ahmedabad</t>
  </si>
  <si>
    <t>Premium</t>
  </si>
  <si>
    <t>CUST002</t>
  </si>
  <si>
    <t>Diya Patel</t>
  </si>
  <si>
    <t>Female</t>
  </si>
  <si>
    <t>Mumbai</t>
  </si>
  <si>
    <t>Regular</t>
  </si>
  <si>
    <t>CUST003</t>
  </si>
  <si>
    <t>Rohan Mehta</t>
  </si>
  <si>
    <t>Bangalore</t>
  </si>
  <si>
    <t>New</t>
  </si>
  <si>
    <t>CUST004</t>
  </si>
  <si>
    <t>Ananya Shah</t>
  </si>
  <si>
    <t>Delhi</t>
  </si>
  <si>
    <t>CUST005</t>
  </si>
  <si>
    <t>Vivaan Desai</t>
  </si>
  <si>
    <t>Pune</t>
  </si>
  <si>
    <t>CUST006</t>
  </si>
  <si>
    <t>Ishita Joshi</t>
  </si>
  <si>
    <t>CUST007</t>
  </si>
  <si>
    <t>Arjun Kapoor</t>
  </si>
  <si>
    <t>Jaipur</t>
  </si>
  <si>
    <t>CUST008</t>
  </si>
  <si>
    <t>Meera Rao</t>
  </si>
  <si>
    <t>Hyderabad</t>
  </si>
  <si>
    <t>CUST009</t>
  </si>
  <si>
    <t>Kabir Singh</t>
  </si>
  <si>
    <t>Chandigarh</t>
  </si>
  <si>
    <t>CUST010</t>
  </si>
  <si>
    <t>Sara Khan</t>
  </si>
  <si>
    <t>Kolkata</t>
  </si>
  <si>
    <t>Order_ID</t>
  </si>
  <si>
    <t>Order_Date</t>
  </si>
  <si>
    <t>Region</t>
  </si>
  <si>
    <t>Salesperson</t>
  </si>
  <si>
    <t>Channel</t>
  </si>
  <si>
    <t>Quantity</t>
  </si>
  <si>
    <t>Unit_Price</t>
  </si>
  <si>
    <t>Discount</t>
  </si>
  <si>
    <t>Payment_Method</t>
  </si>
  <si>
    <t>ORD1001</t>
  </si>
  <si>
    <t>North</t>
  </si>
  <si>
    <t>Rahul</t>
  </si>
  <si>
    <t>Online</t>
  </si>
  <si>
    <t>UPI</t>
  </si>
  <si>
    <t>ORD1002</t>
  </si>
  <si>
    <t>West</t>
  </si>
  <si>
    <t>Priya</t>
  </si>
  <si>
    <t>Store</t>
  </si>
  <si>
    <t>Credit Card</t>
  </si>
  <si>
    <t>ORD1003</t>
  </si>
  <si>
    <t>South</t>
  </si>
  <si>
    <t>Amit</t>
  </si>
  <si>
    <t>ORD1004</t>
  </si>
  <si>
    <t>East</t>
  </si>
  <si>
    <t>Neha</t>
  </si>
  <si>
    <t>Cash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</si>
  <si>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</si>
  <si>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</si>
  <si>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</si>
  <si>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</si>
  <si>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</si>
  <si>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</si>
  <si>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</si>
  <si>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</si>
  <si>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</si>
  <si>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</si>
  <si>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</si>
  <si>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</si>
  <si>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</si>
  <si>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</si>
  <si>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</si>
  <si>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</si>
  <si>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</si>
  <si>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</si>
  <si>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</si>
  <si>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</si>
  <si>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</si>
  <si>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</si>
  <si>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</si>
  <si>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</si>
  <si>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</si>
  <si>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</si>
  <si>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Gross Sales</t>
  </si>
  <si>
    <t>Discount Amount</t>
  </si>
  <si>
    <t>Net Sales</t>
  </si>
  <si>
    <t>Profit</t>
  </si>
  <si>
    <t>Product Cost</t>
  </si>
  <si>
    <t>Profit Margin</t>
  </si>
  <si>
    <t>Total Net Sales =</t>
  </si>
  <si>
    <t xml:space="preserve">Calculaate Total Profit = </t>
  </si>
  <si>
    <t xml:space="preserve">Calculate Average order value = </t>
  </si>
  <si>
    <t xml:space="preserve">Find the highest net sales from one order = </t>
  </si>
  <si>
    <t xml:space="preserve">Find the Lowest net sales from one order = </t>
  </si>
  <si>
    <t xml:space="preserve">How many orders are there = </t>
  </si>
  <si>
    <t xml:space="preserve">How many orders made through Online = </t>
  </si>
  <si>
    <t xml:space="preserve">How many orders were made offline = </t>
  </si>
  <si>
    <t xml:space="preserve">What is the total quantity sold = </t>
  </si>
  <si>
    <t xml:space="preserve">What is the average quantity per order = </t>
  </si>
  <si>
    <t>Total Net Sales for North region =</t>
  </si>
  <si>
    <t xml:space="preserve">Total net sales for Online = </t>
  </si>
  <si>
    <t xml:space="preserve">Total profit by Rahul = </t>
  </si>
  <si>
    <t>Customer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</si>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</sst>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8F20-CA7D-4AD3-A76C-5F9AA7989C8A}">
  <dimension ref="A1:S46"/>
  <sheetViews>
    <sheetView tabSelected="1" topLeftCell="A21" workbookViewId="0">
      <selection activeCell="C46" sqref="C46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2.42578125" bestFit="1" customWidth="1"/>
    <col min="4" max="4" width="10.7109375" bestFit="1" customWidth="1"/>
    <col min="5" max="5" width="8.42578125" bestFit="1" customWidth="1"/>
    <col min="6" max="6" width="11.7109375" bestFit="1" customWidth="1"/>
    <col min="7" max="7" width="8.28515625" bestFit="1" customWidth="1"/>
    <col min="8" max="8" width="8.7109375" bestFit="1" customWidth="1"/>
    <col min="9" max="9" width="10.140625" bestFit="1" customWidth="1"/>
    <col min="10" max="10" width="8.7109375" bestFit="1" customWidth="1"/>
    <col min="11" max="11" width="17" bestFit="1" customWidth="1"/>
    <col min="13" max="13" width="10.85546875" bestFit="1" customWidth="1"/>
    <col min="14" max="14" width="16.42578125" bestFit="1" customWidth="1"/>
    <col min="16" max="16" width="12.140625" bestFit="1" customWidth="1"/>
    <col min="18" max="18" width="12.5703125" bestFit="1" customWidth="1"/>
    <col min="19" max="19" width="15.42578125" bestFit="1" customWidth="1"/>
  </cols>
  <sheetData>
    <row r="1" spans="1:19" x14ac:dyDescent="0.25">
      <c r="A1" t="s">
        <v>66</v>
      </c>
      <c r="B1" t="s">
        <v>67</v>
      </c>
      <c r="C1" t="s">
        <v>26</v>
      </c>
      <c r="D1" t="s">
        <v>0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M1" t="s">
        <v>118</v>
      </c>
      <c r="N1" t="s">
        <v>119</v>
      </c>
      <c r="O1" t="s">
        <v>120</v>
      </c>
      <c r="P1" t="s">
        <v>122</v>
      </c>
      <c r="Q1" t="s">
        <v>121</v>
      </c>
      <c r="R1" t="s">
        <v>123</v>
      </c>
      <c r="S1" t="s">
        <v>137</v>
      </c>
    </row>
    <row r="2" spans="1:19" x14ac:dyDescent="0.25">
      <c r="A2" t="s">
        <v>75</v>
      </c>
      <c r="B2" s="1">
        <v>45660</v>
      </c>
      <c r="C2" t="s">
        <v>32</v>
      </c>
      <c r="D2" t="s">
        <v>5</v>
      </c>
      <c r="E2" t="s">
        <v>76</v>
      </c>
      <c r="F2" t="s">
        <v>77</v>
      </c>
      <c r="G2" t="s">
        <v>78</v>
      </c>
      <c r="H2">
        <v>3</v>
      </c>
      <c r="I2">
        <v>1200</v>
      </c>
      <c r="J2">
        <v>0.05</v>
      </c>
      <c r="K2" t="s">
        <v>79</v>
      </c>
      <c r="M2">
        <f>H2*I2</f>
        <v>3600</v>
      </c>
      <c r="N2">
        <f>M2*J2</f>
        <v>180</v>
      </c>
      <c r="O2">
        <f>M2-N2</f>
        <v>3420</v>
      </c>
      <c r="P2">
        <f>VLOOKUP(D2, Products!A:E,4,FALSE)</f>
        <v>700</v>
      </c>
      <c r="Q2">
        <f>O2-(H2*P2)</f>
        <v>1320</v>
      </c>
      <c r="R2">
        <f>(Q2/O2)*100</f>
        <v>38.596491228070171</v>
      </c>
      <c r="S2" t="str">
        <f>VLOOKUP(C2, Customers!A:F, 2,FALSE)</f>
        <v>Aarav Sharma</v>
      </c>
    </row>
    <row r="3" spans="1:19" x14ac:dyDescent="0.25">
      <c r="A3" t="s">
        <v>80</v>
      </c>
      <c r="B3" s="1">
        <v>45661</v>
      </c>
      <c r="C3" t="s">
        <v>37</v>
      </c>
      <c r="D3" t="s">
        <v>12</v>
      </c>
      <c r="E3" t="s">
        <v>81</v>
      </c>
      <c r="F3" t="s">
        <v>82</v>
      </c>
      <c r="G3" t="s">
        <v>83</v>
      </c>
      <c r="H3">
        <v>2</v>
      </c>
      <c r="I3">
        <v>2500</v>
      </c>
      <c r="J3">
        <v>0.1</v>
      </c>
      <c r="K3" t="s">
        <v>84</v>
      </c>
      <c r="M3">
        <f t="shared" ref="M3:M31" si="0">H3*I3</f>
        <v>5000</v>
      </c>
      <c r="N3">
        <f t="shared" ref="N3:N31" si="1">M3*J3</f>
        <v>500</v>
      </c>
      <c r="O3">
        <f t="shared" ref="O3:O31" si="2">M3-N3</f>
        <v>4500</v>
      </c>
      <c r="P3">
        <f>VLOOKUP(D3, Products!A:E,4,FALSE)</f>
        <v>1400</v>
      </c>
      <c r="Q3">
        <f t="shared" ref="Q3:Q31" si="3">O3-(H3*P3)</f>
        <v>1700</v>
      </c>
      <c r="R3">
        <f t="shared" ref="R3:R31" si="4">(Q3/O3)*100</f>
        <v>37.777777777777779</v>
      </c>
      <c r="S3" t="str">
        <f>VLOOKUP(C3, Customers!A:F, 2,FALSE)</f>
        <v>Diya Patel</v>
      </c>
    </row>
    <row r="4" spans="1:19" x14ac:dyDescent="0.25">
      <c r="A4" t="s">
        <v>85</v>
      </c>
      <c r="B4" s="1">
        <v>45662</v>
      </c>
      <c r="C4" t="s">
        <v>42</v>
      </c>
      <c r="D4" t="s">
        <v>9</v>
      </c>
      <c r="E4" t="s">
        <v>86</v>
      </c>
      <c r="F4" t="s">
        <v>87</v>
      </c>
      <c r="G4" t="s">
        <v>78</v>
      </c>
      <c r="H4">
        <v>5</v>
      </c>
      <c r="I4">
        <v>800</v>
      </c>
      <c r="J4">
        <v>0</v>
      </c>
      <c r="K4" t="s">
        <v>79</v>
      </c>
      <c r="M4">
        <f t="shared" si="0"/>
        <v>4000</v>
      </c>
      <c r="N4">
        <f t="shared" si="1"/>
        <v>0</v>
      </c>
      <c r="O4">
        <f t="shared" si="2"/>
        <v>4000</v>
      </c>
      <c r="P4">
        <f>VLOOKUP(D4, Products!A:E,4,FALSE)</f>
        <v>450</v>
      </c>
      <c r="Q4">
        <f t="shared" si="3"/>
        <v>1750</v>
      </c>
      <c r="R4">
        <f t="shared" si="4"/>
        <v>43.75</v>
      </c>
      <c r="S4" t="str">
        <f>VLOOKUP(C4, Customers!A:F, 2,FALSE)</f>
        <v>Rohan Mehta</v>
      </c>
    </row>
    <row r="5" spans="1:19" x14ac:dyDescent="0.25">
      <c r="A5" t="s">
        <v>88</v>
      </c>
      <c r="B5" s="1">
        <v>45664</v>
      </c>
      <c r="C5" t="s">
        <v>46</v>
      </c>
      <c r="D5" t="s">
        <v>19</v>
      </c>
      <c r="E5" t="s">
        <v>89</v>
      </c>
      <c r="F5" t="s">
        <v>90</v>
      </c>
      <c r="G5" t="s">
        <v>83</v>
      </c>
      <c r="H5">
        <v>1</v>
      </c>
      <c r="I5">
        <v>4500</v>
      </c>
      <c r="J5">
        <v>0.15</v>
      </c>
      <c r="K5" t="s">
        <v>91</v>
      </c>
      <c r="M5">
        <f t="shared" si="0"/>
        <v>4500</v>
      </c>
      <c r="N5">
        <f t="shared" si="1"/>
        <v>675</v>
      </c>
      <c r="O5">
        <f t="shared" si="2"/>
        <v>3825</v>
      </c>
      <c r="P5">
        <f>VLOOKUP(D5, Products!A:E,4,FALSE)</f>
        <v>2800</v>
      </c>
      <c r="Q5">
        <f t="shared" si="3"/>
        <v>1025</v>
      </c>
      <c r="R5">
        <f t="shared" si="4"/>
        <v>26.797385620915033</v>
      </c>
      <c r="S5" t="str">
        <f>VLOOKUP(C5, Customers!A:F, 2,FALSE)</f>
        <v>Ananya Shah</v>
      </c>
    </row>
    <row r="6" spans="1:19" x14ac:dyDescent="0.25">
      <c r="A6" t="s">
        <v>92</v>
      </c>
      <c r="B6" s="1">
        <v>45666</v>
      </c>
      <c r="C6" t="s">
        <v>49</v>
      </c>
      <c r="D6" t="s">
        <v>15</v>
      </c>
      <c r="E6" t="s">
        <v>76</v>
      </c>
      <c r="F6" t="s">
        <v>77</v>
      </c>
      <c r="G6" t="s">
        <v>78</v>
      </c>
      <c r="H6">
        <v>4</v>
      </c>
      <c r="I6">
        <v>1500</v>
      </c>
      <c r="J6">
        <v>0.05</v>
      </c>
      <c r="K6" t="s">
        <v>84</v>
      </c>
      <c r="M6">
        <f t="shared" si="0"/>
        <v>6000</v>
      </c>
      <c r="N6">
        <f t="shared" si="1"/>
        <v>300</v>
      </c>
      <c r="O6">
        <f t="shared" si="2"/>
        <v>5700</v>
      </c>
      <c r="P6">
        <f>VLOOKUP(D6, Products!A:E,4,FALSE)</f>
        <v>9000</v>
      </c>
      <c r="Q6">
        <f t="shared" si="3"/>
        <v>-30300</v>
      </c>
      <c r="R6">
        <f t="shared" si="4"/>
        <v>-531.57894736842104</v>
      </c>
      <c r="S6" t="str">
        <f>VLOOKUP(C6, Customers!A:F, 2,FALSE)</f>
        <v>Vivaan Desai</v>
      </c>
    </row>
    <row r="7" spans="1:19" x14ac:dyDescent="0.25">
      <c r="A7" t="s">
        <v>93</v>
      </c>
      <c r="B7" s="1">
        <v>45668</v>
      </c>
      <c r="C7" t="s">
        <v>52</v>
      </c>
      <c r="D7" t="s">
        <v>5</v>
      </c>
      <c r="E7" t="s">
        <v>81</v>
      </c>
      <c r="F7" t="s">
        <v>82</v>
      </c>
      <c r="G7" t="s">
        <v>83</v>
      </c>
      <c r="H7">
        <v>6</v>
      </c>
      <c r="I7">
        <v>1200</v>
      </c>
      <c r="J7">
        <v>0.1</v>
      </c>
      <c r="K7" t="s">
        <v>79</v>
      </c>
      <c r="M7">
        <f t="shared" si="0"/>
        <v>7200</v>
      </c>
      <c r="N7">
        <f t="shared" si="1"/>
        <v>720</v>
      </c>
      <c r="O7">
        <f t="shared" si="2"/>
        <v>6480</v>
      </c>
      <c r="P7">
        <f>VLOOKUP(D7, Products!A:E,4,FALSE)</f>
        <v>700</v>
      </c>
      <c r="Q7">
        <f t="shared" si="3"/>
        <v>2280</v>
      </c>
      <c r="R7">
        <f t="shared" si="4"/>
        <v>35.185185185185183</v>
      </c>
      <c r="S7" t="str">
        <f>VLOOKUP(C7, Customers!A:F, 2,FALSE)</f>
        <v>Ishita Joshi</v>
      </c>
    </row>
    <row r="8" spans="1:19" x14ac:dyDescent="0.25">
      <c r="A8" t="s">
        <v>94</v>
      </c>
      <c r="B8" s="1">
        <v>45670</v>
      </c>
      <c r="C8" t="s">
        <v>54</v>
      </c>
      <c r="D8" t="s">
        <v>23</v>
      </c>
      <c r="E8" t="s">
        <v>86</v>
      </c>
      <c r="F8" t="s">
        <v>87</v>
      </c>
      <c r="G8" t="s">
        <v>78</v>
      </c>
      <c r="H8">
        <v>2</v>
      </c>
      <c r="I8">
        <v>3200</v>
      </c>
      <c r="J8">
        <v>0</v>
      </c>
      <c r="K8" t="s">
        <v>84</v>
      </c>
      <c r="M8">
        <f t="shared" si="0"/>
        <v>6400</v>
      </c>
      <c r="N8">
        <f t="shared" si="1"/>
        <v>0</v>
      </c>
      <c r="O8">
        <f t="shared" si="2"/>
        <v>6400</v>
      </c>
      <c r="P8">
        <f>VLOOKUP(D8, Products!A:E,4,FALSE)</f>
        <v>1800</v>
      </c>
      <c r="Q8">
        <f t="shared" si="3"/>
        <v>2800</v>
      </c>
      <c r="R8">
        <f t="shared" si="4"/>
        <v>43.75</v>
      </c>
      <c r="S8" t="str">
        <f>VLOOKUP(C8, Customers!A:F, 2,FALSE)</f>
        <v>Arjun Kapoor</v>
      </c>
    </row>
    <row r="9" spans="1:19" x14ac:dyDescent="0.25">
      <c r="A9" t="s">
        <v>95</v>
      </c>
      <c r="B9" s="1">
        <v>45672</v>
      </c>
      <c r="C9" t="s">
        <v>57</v>
      </c>
      <c r="D9" t="s">
        <v>12</v>
      </c>
      <c r="E9" t="s">
        <v>89</v>
      </c>
      <c r="F9" t="s">
        <v>90</v>
      </c>
      <c r="G9" t="s">
        <v>83</v>
      </c>
      <c r="H9">
        <v>3</v>
      </c>
      <c r="I9">
        <v>2500</v>
      </c>
      <c r="J9">
        <v>0.05</v>
      </c>
      <c r="K9" t="s">
        <v>91</v>
      </c>
      <c r="M9">
        <f t="shared" si="0"/>
        <v>7500</v>
      </c>
      <c r="N9">
        <f t="shared" si="1"/>
        <v>375</v>
      </c>
      <c r="O9">
        <f t="shared" si="2"/>
        <v>7125</v>
      </c>
      <c r="P9">
        <f>VLOOKUP(D9, Products!A:E,4,FALSE)</f>
        <v>1400</v>
      </c>
      <c r="Q9">
        <f t="shared" si="3"/>
        <v>2925</v>
      </c>
      <c r="R9">
        <f t="shared" si="4"/>
        <v>41.05263157894737</v>
      </c>
      <c r="S9" t="str">
        <f>VLOOKUP(C9, Customers!A:F, 2,FALSE)</f>
        <v>Meera Rao</v>
      </c>
    </row>
    <row r="10" spans="1:19" x14ac:dyDescent="0.25">
      <c r="A10" t="s">
        <v>96</v>
      </c>
      <c r="B10" s="1">
        <v>45675</v>
      </c>
      <c r="C10" t="s">
        <v>60</v>
      </c>
      <c r="D10" t="s">
        <v>9</v>
      </c>
      <c r="E10" t="s">
        <v>76</v>
      </c>
      <c r="F10" t="s">
        <v>77</v>
      </c>
      <c r="G10" t="s">
        <v>78</v>
      </c>
      <c r="H10">
        <v>7</v>
      </c>
      <c r="I10">
        <v>800</v>
      </c>
      <c r="J10">
        <v>0.1</v>
      </c>
      <c r="K10" t="s">
        <v>79</v>
      </c>
      <c r="M10">
        <f t="shared" si="0"/>
        <v>5600</v>
      </c>
      <c r="N10">
        <f t="shared" si="1"/>
        <v>560</v>
      </c>
      <c r="O10">
        <f t="shared" si="2"/>
        <v>5040</v>
      </c>
      <c r="P10">
        <f>VLOOKUP(D10, Products!A:E,4,FALSE)</f>
        <v>450</v>
      </c>
      <c r="Q10">
        <f t="shared" si="3"/>
        <v>1890</v>
      </c>
      <c r="R10">
        <f t="shared" si="4"/>
        <v>37.5</v>
      </c>
      <c r="S10" t="str">
        <f>VLOOKUP(C10, Customers!A:F, 2,FALSE)</f>
        <v>Kabir Singh</v>
      </c>
    </row>
    <row r="11" spans="1:19" x14ac:dyDescent="0.25">
      <c r="A11" t="s">
        <v>97</v>
      </c>
      <c r="B11" s="1">
        <v>45677</v>
      </c>
      <c r="C11" t="s">
        <v>63</v>
      </c>
      <c r="D11" t="s">
        <v>19</v>
      </c>
      <c r="E11" t="s">
        <v>81</v>
      </c>
      <c r="F11" t="s">
        <v>82</v>
      </c>
      <c r="G11" t="s">
        <v>83</v>
      </c>
      <c r="H11">
        <v>2</v>
      </c>
      <c r="I11">
        <v>4500</v>
      </c>
      <c r="J11">
        <v>0.15</v>
      </c>
      <c r="K11" t="s">
        <v>84</v>
      </c>
      <c r="M11">
        <f t="shared" si="0"/>
        <v>9000</v>
      </c>
      <c r="N11">
        <f t="shared" si="1"/>
        <v>1350</v>
      </c>
      <c r="O11">
        <f t="shared" si="2"/>
        <v>7650</v>
      </c>
      <c r="P11">
        <f>VLOOKUP(D11, Products!A:E,4,FALSE)</f>
        <v>2800</v>
      </c>
      <c r="Q11">
        <f t="shared" si="3"/>
        <v>2050</v>
      </c>
      <c r="R11">
        <f t="shared" si="4"/>
        <v>26.797385620915033</v>
      </c>
      <c r="S11" t="str">
        <f>VLOOKUP(C11, Customers!A:F, 2,FALSE)</f>
        <v>Sara Khan</v>
      </c>
    </row>
    <row r="12" spans="1:19" x14ac:dyDescent="0.25">
      <c r="A12" t="s">
        <v>98</v>
      </c>
      <c r="B12" s="1">
        <v>45679</v>
      </c>
      <c r="C12" t="s">
        <v>32</v>
      </c>
      <c r="D12" t="s">
        <v>15</v>
      </c>
      <c r="E12" t="s">
        <v>86</v>
      </c>
      <c r="F12" t="s">
        <v>87</v>
      </c>
      <c r="G12" t="s">
        <v>78</v>
      </c>
      <c r="H12">
        <v>5</v>
      </c>
      <c r="I12">
        <v>1500</v>
      </c>
      <c r="J12">
        <v>0.05</v>
      </c>
      <c r="K12" t="s">
        <v>79</v>
      </c>
      <c r="M12">
        <f t="shared" si="0"/>
        <v>7500</v>
      </c>
      <c r="N12">
        <f t="shared" si="1"/>
        <v>375</v>
      </c>
      <c r="O12">
        <f t="shared" si="2"/>
        <v>7125</v>
      </c>
      <c r="P12">
        <f>VLOOKUP(D12, Products!A:E,4,FALSE)</f>
        <v>9000</v>
      </c>
      <c r="Q12">
        <f t="shared" si="3"/>
        <v>-37875</v>
      </c>
      <c r="R12">
        <f t="shared" si="4"/>
        <v>-531.57894736842104</v>
      </c>
      <c r="S12" t="str">
        <f>VLOOKUP(C12, Customers!A:F, 2,FALSE)</f>
        <v>Aarav Sharma</v>
      </c>
    </row>
    <row r="13" spans="1:19" x14ac:dyDescent="0.25">
      <c r="A13" t="s">
        <v>99</v>
      </c>
      <c r="B13" s="1">
        <v>45682</v>
      </c>
      <c r="C13" t="s">
        <v>37</v>
      </c>
      <c r="D13" t="s">
        <v>23</v>
      </c>
      <c r="E13" t="s">
        <v>89</v>
      </c>
      <c r="F13" t="s">
        <v>90</v>
      </c>
      <c r="G13" t="s">
        <v>83</v>
      </c>
      <c r="H13">
        <v>1</v>
      </c>
      <c r="I13">
        <v>3200</v>
      </c>
      <c r="J13">
        <v>0</v>
      </c>
      <c r="K13" t="s">
        <v>91</v>
      </c>
      <c r="M13">
        <f t="shared" si="0"/>
        <v>3200</v>
      </c>
      <c r="N13">
        <f t="shared" si="1"/>
        <v>0</v>
      </c>
      <c r="O13">
        <f t="shared" si="2"/>
        <v>3200</v>
      </c>
      <c r="P13">
        <f>VLOOKUP(D13, Products!A:E,4,FALSE)</f>
        <v>1800</v>
      </c>
      <c r="Q13">
        <f t="shared" si="3"/>
        <v>1400</v>
      </c>
      <c r="R13">
        <f t="shared" si="4"/>
        <v>43.75</v>
      </c>
      <c r="S13" t="str">
        <f>VLOOKUP(C13, Customers!A:F, 2,FALSE)</f>
        <v>Diya Patel</v>
      </c>
    </row>
    <row r="14" spans="1:19" x14ac:dyDescent="0.25">
      <c r="A14" t="s">
        <v>100</v>
      </c>
      <c r="B14" s="1">
        <v>45684</v>
      </c>
      <c r="C14" t="s">
        <v>42</v>
      </c>
      <c r="D14" t="s">
        <v>5</v>
      </c>
      <c r="E14" t="s">
        <v>76</v>
      </c>
      <c r="F14" t="s">
        <v>77</v>
      </c>
      <c r="G14" t="s">
        <v>78</v>
      </c>
      <c r="H14">
        <v>8</v>
      </c>
      <c r="I14">
        <v>1200</v>
      </c>
      <c r="J14">
        <v>0.1</v>
      </c>
      <c r="K14" t="s">
        <v>84</v>
      </c>
      <c r="M14">
        <f t="shared" si="0"/>
        <v>9600</v>
      </c>
      <c r="N14">
        <f t="shared" si="1"/>
        <v>960</v>
      </c>
      <c r="O14">
        <f t="shared" si="2"/>
        <v>8640</v>
      </c>
      <c r="P14">
        <f>VLOOKUP(D14, Products!A:E,4,FALSE)</f>
        <v>700</v>
      </c>
      <c r="Q14">
        <f t="shared" si="3"/>
        <v>3040</v>
      </c>
      <c r="R14">
        <f t="shared" si="4"/>
        <v>35.185185185185183</v>
      </c>
      <c r="S14" t="str">
        <f>VLOOKUP(C14, Customers!A:F, 2,FALSE)</f>
        <v>Rohan Mehta</v>
      </c>
    </row>
    <row r="15" spans="1:19" x14ac:dyDescent="0.25">
      <c r="A15" t="s">
        <v>101</v>
      </c>
      <c r="B15" s="1">
        <v>45686</v>
      </c>
      <c r="C15" t="s">
        <v>46</v>
      </c>
      <c r="D15" t="s">
        <v>12</v>
      </c>
      <c r="E15" t="s">
        <v>81</v>
      </c>
      <c r="F15" t="s">
        <v>82</v>
      </c>
      <c r="G15" t="s">
        <v>83</v>
      </c>
      <c r="H15">
        <v>4</v>
      </c>
      <c r="I15">
        <v>2500</v>
      </c>
      <c r="J15">
        <v>0.05</v>
      </c>
      <c r="K15" t="s">
        <v>79</v>
      </c>
      <c r="M15">
        <f t="shared" si="0"/>
        <v>10000</v>
      </c>
      <c r="N15">
        <f t="shared" si="1"/>
        <v>500</v>
      </c>
      <c r="O15">
        <f t="shared" si="2"/>
        <v>9500</v>
      </c>
      <c r="P15">
        <f>VLOOKUP(D15, Products!A:E,4,FALSE)</f>
        <v>1400</v>
      </c>
      <c r="Q15">
        <f t="shared" si="3"/>
        <v>3900</v>
      </c>
      <c r="R15">
        <f t="shared" si="4"/>
        <v>41.05263157894737</v>
      </c>
      <c r="S15" t="str">
        <f>VLOOKUP(C15, Customers!A:F, 2,FALSE)</f>
        <v>Ananya Shah</v>
      </c>
    </row>
    <row r="16" spans="1:19" x14ac:dyDescent="0.25">
      <c r="A16" t="s">
        <v>102</v>
      </c>
      <c r="B16" s="1">
        <v>45690</v>
      </c>
      <c r="C16" t="s">
        <v>49</v>
      </c>
      <c r="D16" t="s">
        <v>9</v>
      </c>
      <c r="E16" t="s">
        <v>86</v>
      </c>
      <c r="F16" t="s">
        <v>87</v>
      </c>
      <c r="G16" t="s">
        <v>78</v>
      </c>
      <c r="H16">
        <v>3</v>
      </c>
      <c r="I16">
        <v>800</v>
      </c>
      <c r="J16">
        <v>0</v>
      </c>
      <c r="K16" t="s">
        <v>91</v>
      </c>
      <c r="M16">
        <f t="shared" si="0"/>
        <v>2400</v>
      </c>
      <c r="N16">
        <f t="shared" si="1"/>
        <v>0</v>
      </c>
      <c r="O16">
        <f t="shared" si="2"/>
        <v>2400</v>
      </c>
      <c r="P16">
        <f>VLOOKUP(D16, Products!A:E,4,FALSE)</f>
        <v>450</v>
      </c>
      <c r="Q16">
        <f t="shared" si="3"/>
        <v>1050</v>
      </c>
      <c r="R16">
        <f t="shared" si="4"/>
        <v>43.75</v>
      </c>
      <c r="S16" t="str">
        <f>VLOOKUP(C16, Customers!A:F, 2,FALSE)</f>
        <v>Vivaan Desai</v>
      </c>
    </row>
    <row r="17" spans="1:19" x14ac:dyDescent="0.25">
      <c r="A17" t="s">
        <v>103</v>
      </c>
      <c r="B17" s="1">
        <v>45693</v>
      </c>
      <c r="C17" t="s">
        <v>52</v>
      </c>
      <c r="D17" t="s">
        <v>19</v>
      </c>
      <c r="E17" t="s">
        <v>89</v>
      </c>
      <c r="F17" t="s">
        <v>90</v>
      </c>
      <c r="G17" t="s">
        <v>83</v>
      </c>
      <c r="H17">
        <v>2</v>
      </c>
      <c r="I17">
        <v>4500</v>
      </c>
      <c r="J17">
        <v>0.1</v>
      </c>
      <c r="K17" t="s">
        <v>84</v>
      </c>
      <c r="M17">
        <f t="shared" si="0"/>
        <v>9000</v>
      </c>
      <c r="N17">
        <f t="shared" si="1"/>
        <v>900</v>
      </c>
      <c r="O17">
        <f t="shared" si="2"/>
        <v>8100</v>
      </c>
      <c r="P17">
        <f>VLOOKUP(D17, Products!A:E,4,FALSE)</f>
        <v>2800</v>
      </c>
      <c r="Q17">
        <f t="shared" si="3"/>
        <v>2500</v>
      </c>
      <c r="R17">
        <f t="shared" si="4"/>
        <v>30.864197530864196</v>
      </c>
      <c r="S17" t="str">
        <f>VLOOKUP(C17, Customers!A:F, 2,FALSE)</f>
        <v>Ishita Joshi</v>
      </c>
    </row>
    <row r="18" spans="1:19" x14ac:dyDescent="0.25">
      <c r="A18" t="s">
        <v>104</v>
      </c>
      <c r="B18" s="1">
        <v>45696</v>
      </c>
      <c r="C18" t="s">
        <v>54</v>
      </c>
      <c r="D18" t="s">
        <v>15</v>
      </c>
      <c r="E18" t="s">
        <v>76</v>
      </c>
      <c r="F18" t="s">
        <v>77</v>
      </c>
      <c r="G18" t="s">
        <v>78</v>
      </c>
      <c r="H18">
        <v>6</v>
      </c>
      <c r="I18">
        <v>1500</v>
      </c>
      <c r="J18">
        <v>0.05</v>
      </c>
      <c r="K18" t="s">
        <v>79</v>
      </c>
      <c r="M18">
        <f t="shared" si="0"/>
        <v>9000</v>
      </c>
      <c r="N18">
        <f t="shared" si="1"/>
        <v>450</v>
      </c>
      <c r="O18">
        <f t="shared" si="2"/>
        <v>8550</v>
      </c>
      <c r="P18">
        <f>VLOOKUP(D18, Products!A:E,4,FALSE)</f>
        <v>9000</v>
      </c>
      <c r="Q18">
        <f t="shared" si="3"/>
        <v>-45450</v>
      </c>
      <c r="R18">
        <f t="shared" si="4"/>
        <v>-531.57894736842104</v>
      </c>
      <c r="S18" t="str">
        <f>VLOOKUP(C18, Customers!A:F, 2,FALSE)</f>
        <v>Arjun Kapoor</v>
      </c>
    </row>
    <row r="19" spans="1:19" x14ac:dyDescent="0.25">
      <c r="A19" t="s">
        <v>105</v>
      </c>
      <c r="B19" s="1">
        <v>45699</v>
      </c>
      <c r="C19" t="s">
        <v>57</v>
      </c>
      <c r="D19" t="s">
        <v>23</v>
      </c>
      <c r="E19" t="s">
        <v>81</v>
      </c>
      <c r="F19" t="s">
        <v>82</v>
      </c>
      <c r="G19" t="s">
        <v>83</v>
      </c>
      <c r="H19">
        <v>3</v>
      </c>
      <c r="I19">
        <v>3200</v>
      </c>
      <c r="J19">
        <v>0.15</v>
      </c>
      <c r="K19" t="s">
        <v>91</v>
      </c>
      <c r="M19">
        <f t="shared" si="0"/>
        <v>9600</v>
      </c>
      <c r="N19">
        <f t="shared" si="1"/>
        <v>1440</v>
      </c>
      <c r="O19">
        <f t="shared" si="2"/>
        <v>8160</v>
      </c>
      <c r="P19">
        <f>VLOOKUP(D19, Products!A:E,4,FALSE)</f>
        <v>1800</v>
      </c>
      <c r="Q19">
        <f t="shared" si="3"/>
        <v>2760</v>
      </c>
      <c r="R19">
        <f t="shared" si="4"/>
        <v>33.82352941176471</v>
      </c>
      <c r="S19" t="str">
        <f>VLOOKUP(C19, Customers!A:F, 2,FALSE)</f>
        <v>Meera Rao</v>
      </c>
    </row>
    <row r="20" spans="1:19" x14ac:dyDescent="0.25">
      <c r="A20" t="s">
        <v>106</v>
      </c>
      <c r="B20" s="1">
        <v>45702</v>
      </c>
      <c r="C20" t="s">
        <v>60</v>
      </c>
      <c r="D20" t="s">
        <v>5</v>
      </c>
      <c r="E20" t="s">
        <v>86</v>
      </c>
      <c r="F20" t="s">
        <v>87</v>
      </c>
      <c r="G20" t="s">
        <v>78</v>
      </c>
      <c r="H20">
        <v>4</v>
      </c>
      <c r="I20">
        <v>1200</v>
      </c>
      <c r="J20">
        <v>0</v>
      </c>
      <c r="K20" t="s">
        <v>84</v>
      </c>
      <c r="M20">
        <f t="shared" si="0"/>
        <v>4800</v>
      </c>
      <c r="N20">
        <f t="shared" si="1"/>
        <v>0</v>
      </c>
      <c r="O20">
        <f t="shared" si="2"/>
        <v>4800</v>
      </c>
      <c r="P20">
        <f>VLOOKUP(D20, Products!A:E,4,FALSE)</f>
        <v>700</v>
      </c>
      <c r="Q20">
        <f t="shared" si="3"/>
        <v>2000</v>
      </c>
      <c r="R20">
        <f t="shared" si="4"/>
        <v>41.666666666666671</v>
      </c>
      <c r="S20" t="str">
        <f>VLOOKUP(C20, Customers!A:F, 2,FALSE)</f>
        <v>Kabir Singh</v>
      </c>
    </row>
    <row r="21" spans="1:19" x14ac:dyDescent="0.25">
      <c r="A21" t="s">
        <v>107</v>
      </c>
      <c r="B21" s="1">
        <v>45705</v>
      </c>
      <c r="C21" t="s">
        <v>63</v>
      </c>
      <c r="D21" t="s">
        <v>12</v>
      </c>
      <c r="E21" t="s">
        <v>89</v>
      </c>
      <c r="F21" t="s">
        <v>90</v>
      </c>
      <c r="G21" t="s">
        <v>83</v>
      </c>
      <c r="H21">
        <v>5</v>
      </c>
      <c r="I21">
        <v>2500</v>
      </c>
      <c r="J21">
        <v>0.1</v>
      </c>
      <c r="K21" t="s">
        <v>79</v>
      </c>
      <c r="M21">
        <f t="shared" si="0"/>
        <v>12500</v>
      </c>
      <c r="N21">
        <f t="shared" si="1"/>
        <v>1250</v>
      </c>
      <c r="O21">
        <f t="shared" si="2"/>
        <v>11250</v>
      </c>
      <c r="P21">
        <f>VLOOKUP(D21, Products!A:E,4,FALSE)</f>
        <v>1400</v>
      </c>
      <c r="Q21">
        <f t="shared" si="3"/>
        <v>4250</v>
      </c>
      <c r="R21">
        <f t="shared" si="4"/>
        <v>37.777777777777779</v>
      </c>
      <c r="S21" t="str">
        <f>VLOOKUP(C21, Customers!A:F, 2,FALSE)</f>
        <v>Sara Khan</v>
      </c>
    </row>
    <row r="22" spans="1:19" x14ac:dyDescent="0.25">
      <c r="A22" t="s">
        <v>108</v>
      </c>
      <c r="B22" s="1">
        <v>45708</v>
      </c>
      <c r="C22" t="s">
        <v>32</v>
      </c>
      <c r="D22" t="s">
        <v>19</v>
      </c>
      <c r="E22" t="s">
        <v>76</v>
      </c>
      <c r="F22" t="s">
        <v>77</v>
      </c>
      <c r="G22" t="s">
        <v>78</v>
      </c>
      <c r="H22">
        <v>2</v>
      </c>
      <c r="I22">
        <v>4500</v>
      </c>
      <c r="J22">
        <v>0.05</v>
      </c>
      <c r="K22" t="s">
        <v>84</v>
      </c>
      <c r="M22">
        <f t="shared" si="0"/>
        <v>9000</v>
      </c>
      <c r="N22">
        <f t="shared" si="1"/>
        <v>450</v>
      </c>
      <c r="O22">
        <f t="shared" si="2"/>
        <v>8550</v>
      </c>
      <c r="P22">
        <f>VLOOKUP(D22, Products!A:E,4,FALSE)</f>
        <v>2800</v>
      </c>
      <c r="Q22">
        <f t="shared" si="3"/>
        <v>2950</v>
      </c>
      <c r="R22">
        <f t="shared" si="4"/>
        <v>34.502923976608187</v>
      </c>
      <c r="S22" t="str">
        <f>VLOOKUP(C22, Customers!A:F, 2,FALSE)</f>
        <v>Aarav Sharma</v>
      </c>
    </row>
    <row r="23" spans="1:19" x14ac:dyDescent="0.25">
      <c r="A23" t="s">
        <v>109</v>
      </c>
      <c r="B23" s="1">
        <v>45711</v>
      </c>
      <c r="C23" t="s">
        <v>37</v>
      </c>
      <c r="D23" t="s">
        <v>15</v>
      </c>
      <c r="E23" t="s">
        <v>81</v>
      </c>
      <c r="F23" t="s">
        <v>82</v>
      </c>
      <c r="G23" t="s">
        <v>83</v>
      </c>
      <c r="H23">
        <v>7</v>
      </c>
      <c r="I23">
        <v>1500</v>
      </c>
      <c r="J23">
        <v>0</v>
      </c>
      <c r="K23" t="s">
        <v>91</v>
      </c>
      <c r="M23">
        <f t="shared" si="0"/>
        <v>10500</v>
      </c>
      <c r="N23">
        <f t="shared" si="1"/>
        <v>0</v>
      </c>
      <c r="O23">
        <f t="shared" si="2"/>
        <v>10500</v>
      </c>
      <c r="P23">
        <f>VLOOKUP(D23, Products!A:E,4,FALSE)</f>
        <v>9000</v>
      </c>
      <c r="Q23">
        <f t="shared" si="3"/>
        <v>-52500</v>
      </c>
      <c r="R23">
        <f t="shared" si="4"/>
        <v>-500</v>
      </c>
      <c r="S23" t="str">
        <f>VLOOKUP(C23, Customers!A:F, 2,FALSE)</f>
        <v>Diya Patel</v>
      </c>
    </row>
    <row r="24" spans="1:19" x14ac:dyDescent="0.25">
      <c r="A24" t="s">
        <v>110</v>
      </c>
      <c r="B24" s="1">
        <v>45714</v>
      </c>
      <c r="C24" t="s">
        <v>42</v>
      </c>
      <c r="D24" t="s">
        <v>23</v>
      </c>
      <c r="E24" t="s">
        <v>86</v>
      </c>
      <c r="F24" t="s">
        <v>87</v>
      </c>
      <c r="G24" t="s">
        <v>78</v>
      </c>
      <c r="H24">
        <v>3</v>
      </c>
      <c r="I24">
        <v>3200</v>
      </c>
      <c r="J24">
        <v>0.1</v>
      </c>
      <c r="K24" t="s">
        <v>79</v>
      </c>
      <c r="M24">
        <f t="shared" si="0"/>
        <v>9600</v>
      </c>
      <c r="N24">
        <f t="shared" si="1"/>
        <v>960</v>
      </c>
      <c r="O24">
        <f t="shared" si="2"/>
        <v>8640</v>
      </c>
      <c r="P24">
        <f>VLOOKUP(D24, Products!A:E,4,FALSE)</f>
        <v>1800</v>
      </c>
      <c r="Q24">
        <f t="shared" si="3"/>
        <v>3240</v>
      </c>
      <c r="R24">
        <f t="shared" si="4"/>
        <v>37.5</v>
      </c>
      <c r="S24" t="str">
        <f>VLOOKUP(C24, Customers!A:F, 2,FALSE)</f>
        <v>Rohan Mehta</v>
      </c>
    </row>
    <row r="25" spans="1:19" x14ac:dyDescent="0.25">
      <c r="A25" t="s">
        <v>111</v>
      </c>
      <c r="B25" s="1">
        <v>45716</v>
      </c>
      <c r="C25" t="s">
        <v>46</v>
      </c>
      <c r="D25" t="s">
        <v>9</v>
      </c>
      <c r="E25" t="s">
        <v>89</v>
      </c>
      <c r="F25" t="s">
        <v>90</v>
      </c>
      <c r="G25" t="s">
        <v>83</v>
      </c>
      <c r="H25">
        <v>6</v>
      </c>
      <c r="I25">
        <v>800</v>
      </c>
      <c r="J25">
        <v>0.05</v>
      </c>
      <c r="K25" t="s">
        <v>84</v>
      </c>
      <c r="M25">
        <f t="shared" si="0"/>
        <v>4800</v>
      </c>
      <c r="N25">
        <f t="shared" si="1"/>
        <v>240</v>
      </c>
      <c r="O25">
        <f t="shared" si="2"/>
        <v>4560</v>
      </c>
      <c r="P25">
        <f>VLOOKUP(D25, Products!A:E,4,FALSE)</f>
        <v>450</v>
      </c>
      <c r="Q25">
        <f t="shared" si="3"/>
        <v>1860</v>
      </c>
      <c r="R25">
        <f t="shared" si="4"/>
        <v>40.789473684210527</v>
      </c>
      <c r="S25" t="str">
        <f>VLOOKUP(C25, Customers!A:F, 2,FALSE)</f>
        <v>Ananya Shah</v>
      </c>
    </row>
    <row r="26" spans="1:19" x14ac:dyDescent="0.25">
      <c r="A26" t="s">
        <v>112</v>
      </c>
      <c r="B26" s="1">
        <v>45718</v>
      </c>
      <c r="C26" t="s">
        <v>49</v>
      </c>
      <c r="D26" t="s">
        <v>5</v>
      </c>
      <c r="E26" t="s">
        <v>76</v>
      </c>
      <c r="F26" t="s">
        <v>77</v>
      </c>
      <c r="G26" t="s">
        <v>78</v>
      </c>
      <c r="H26">
        <v>4</v>
      </c>
      <c r="I26">
        <v>1200</v>
      </c>
      <c r="J26">
        <v>0.15</v>
      </c>
      <c r="K26" t="s">
        <v>79</v>
      </c>
      <c r="M26">
        <f t="shared" si="0"/>
        <v>4800</v>
      </c>
      <c r="N26">
        <f t="shared" si="1"/>
        <v>720</v>
      </c>
      <c r="O26">
        <f t="shared" si="2"/>
        <v>4080</v>
      </c>
      <c r="P26">
        <f>VLOOKUP(D26, Products!A:E,4,FALSE)</f>
        <v>700</v>
      </c>
      <c r="Q26">
        <f t="shared" si="3"/>
        <v>1280</v>
      </c>
      <c r="R26">
        <f t="shared" si="4"/>
        <v>31.372549019607842</v>
      </c>
      <c r="S26" t="str">
        <f>VLOOKUP(C26, Customers!A:F, 2,FALSE)</f>
        <v>Vivaan Desai</v>
      </c>
    </row>
    <row r="27" spans="1:19" x14ac:dyDescent="0.25">
      <c r="A27" t="s">
        <v>113</v>
      </c>
      <c r="B27" s="1">
        <v>45721</v>
      </c>
      <c r="C27" t="s">
        <v>52</v>
      </c>
      <c r="D27" t="s">
        <v>12</v>
      </c>
      <c r="E27" t="s">
        <v>81</v>
      </c>
      <c r="F27" t="s">
        <v>82</v>
      </c>
      <c r="G27" t="s">
        <v>83</v>
      </c>
      <c r="H27">
        <v>2</v>
      </c>
      <c r="I27">
        <v>2500</v>
      </c>
      <c r="J27">
        <v>0</v>
      </c>
      <c r="K27" t="s">
        <v>91</v>
      </c>
      <c r="M27">
        <f t="shared" si="0"/>
        <v>5000</v>
      </c>
      <c r="N27">
        <f t="shared" si="1"/>
        <v>0</v>
      </c>
      <c r="O27">
        <f t="shared" si="2"/>
        <v>5000</v>
      </c>
      <c r="P27">
        <f>VLOOKUP(D27, Products!A:E,4,FALSE)</f>
        <v>1400</v>
      </c>
      <c r="Q27">
        <f t="shared" si="3"/>
        <v>2200</v>
      </c>
      <c r="R27">
        <f t="shared" si="4"/>
        <v>44</v>
      </c>
      <c r="S27" t="str">
        <f>VLOOKUP(C27, Customers!A:F, 2,FALSE)</f>
        <v>Ishita Joshi</v>
      </c>
    </row>
    <row r="28" spans="1:19" x14ac:dyDescent="0.25">
      <c r="A28" t="s">
        <v>114</v>
      </c>
      <c r="B28" s="1">
        <v>45724</v>
      </c>
      <c r="C28" t="s">
        <v>54</v>
      </c>
      <c r="D28" t="s">
        <v>19</v>
      </c>
      <c r="E28" t="s">
        <v>86</v>
      </c>
      <c r="F28" t="s">
        <v>87</v>
      </c>
      <c r="G28" t="s">
        <v>78</v>
      </c>
      <c r="H28">
        <v>1</v>
      </c>
      <c r="I28">
        <v>4500</v>
      </c>
      <c r="J28">
        <v>0.05</v>
      </c>
      <c r="K28" t="s">
        <v>84</v>
      </c>
      <c r="M28">
        <f t="shared" si="0"/>
        <v>4500</v>
      </c>
      <c r="N28">
        <f t="shared" si="1"/>
        <v>225</v>
      </c>
      <c r="O28">
        <f t="shared" si="2"/>
        <v>4275</v>
      </c>
      <c r="P28">
        <f>VLOOKUP(D28, Products!A:E,4,FALSE)</f>
        <v>2800</v>
      </c>
      <c r="Q28">
        <f t="shared" si="3"/>
        <v>1475</v>
      </c>
      <c r="R28">
        <f t="shared" si="4"/>
        <v>34.502923976608187</v>
      </c>
      <c r="S28" t="str">
        <f>VLOOKUP(C28, Customers!A:F, 2,FALSE)</f>
        <v>Arjun Kapoor</v>
      </c>
    </row>
    <row r="29" spans="1:19" x14ac:dyDescent="0.25">
      <c r="A29" t="s">
        <v>115</v>
      </c>
      <c r="B29" s="1">
        <v>45727</v>
      </c>
      <c r="C29" t="s">
        <v>57</v>
      </c>
      <c r="D29" t="s">
        <v>15</v>
      </c>
      <c r="E29" t="s">
        <v>89</v>
      </c>
      <c r="F29" t="s">
        <v>90</v>
      </c>
      <c r="G29" t="s">
        <v>83</v>
      </c>
      <c r="H29">
        <v>5</v>
      </c>
      <c r="I29">
        <v>1500</v>
      </c>
      <c r="J29">
        <v>0.1</v>
      </c>
      <c r="K29" t="s">
        <v>79</v>
      </c>
      <c r="M29">
        <f t="shared" si="0"/>
        <v>7500</v>
      </c>
      <c r="N29">
        <f t="shared" si="1"/>
        <v>750</v>
      </c>
      <c r="O29">
        <f t="shared" si="2"/>
        <v>6750</v>
      </c>
      <c r="P29">
        <f>VLOOKUP(D29, Products!A:E,4,FALSE)</f>
        <v>9000</v>
      </c>
      <c r="Q29">
        <f t="shared" si="3"/>
        <v>-38250</v>
      </c>
      <c r="R29">
        <f t="shared" si="4"/>
        <v>-566.66666666666674</v>
      </c>
      <c r="S29" t="str">
        <f>VLOOKUP(C29, Customers!A:F, 2,FALSE)</f>
        <v>Meera Rao</v>
      </c>
    </row>
    <row r="30" spans="1:19" x14ac:dyDescent="0.25">
      <c r="A30" t="s">
        <v>116</v>
      </c>
      <c r="B30" s="1">
        <v>45730</v>
      </c>
      <c r="C30" t="s">
        <v>60</v>
      </c>
      <c r="D30" t="s">
        <v>23</v>
      </c>
      <c r="E30" t="s">
        <v>76</v>
      </c>
      <c r="F30" t="s">
        <v>77</v>
      </c>
      <c r="G30" t="s">
        <v>78</v>
      </c>
      <c r="H30">
        <v>3</v>
      </c>
      <c r="I30">
        <v>3200</v>
      </c>
      <c r="J30">
        <v>0</v>
      </c>
      <c r="K30" t="s">
        <v>84</v>
      </c>
      <c r="M30">
        <f t="shared" si="0"/>
        <v>9600</v>
      </c>
      <c r="N30">
        <f t="shared" si="1"/>
        <v>0</v>
      </c>
      <c r="O30">
        <f t="shared" si="2"/>
        <v>9600</v>
      </c>
      <c r="P30">
        <f>VLOOKUP(D30, Products!A:E,4,FALSE)</f>
        <v>1800</v>
      </c>
      <c r="Q30">
        <f t="shared" si="3"/>
        <v>4200</v>
      </c>
      <c r="R30">
        <f t="shared" si="4"/>
        <v>43.75</v>
      </c>
      <c r="S30" t="str">
        <f>VLOOKUP(C30, Customers!A:F, 2,FALSE)</f>
        <v>Kabir Singh</v>
      </c>
    </row>
    <row r="31" spans="1:19" x14ac:dyDescent="0.25">
      <c r="A31" t="s">
        <v>117</v>
      </c>
      <c r="B31" s="1">
        <v>45733</v>
      </c>
      <c r="C31" t="s">
        <v>63</v>
      </c>
      <c r="D31" t="s">
        <v>9</v>
      </c>
      <c r="E31" t="s">
        <v>81</v>
      </c>
      <c r="F31" t="s">
        <v>82</v>
      </c>
      <c r="G31" t="s">
        <v>83</v>
      </c>
      <c r="H31">
        <v>8</v>
      </c>
      <c r="I31">
        <v>800</v>
      </c>
      <c r="J31">
        <v>0.15</v>
      </c>
      <c r="K31" t="s">
        <v>91</v>
      </c>
      <c r="M31">
        <f t="shared" si="0"/>
        <v>6400</v>
      </c>
      <c r="N31">
        <f t="shared" si="1"/>
        <v>960</v>
      </c>
      <c r="O31">
        <f t="shared" si="2"/>
        <v>5440</v>
      </c>
      <c r="P31">
        <f>VLOOKUP(D31, Products!A:E,4,FALSE)</f>
        <v>450</v>
      </c>
      <c r="Q31">
        <f t="shared" si="3"/>
        <v>1840</v>
      </c>
      <c r="R31">
        <f t="shared" si="4"/>
        <v>33.82352941176471</v>
      </c>
      <c r="S31" t="str">
        <f>VLOOKUP(C31, Customers!A:F, 2,FALSE)</f>
        <v>Sara Khan</v>
      </c>
    </row>
    <row r="34" spans="1:5" x14ac:dyDescent="0.25">
      <c r="A34" t="s">
        <v>124</v>
      </c>
      <c r="C34">
        <f>SUM(O2:O31)</f>
        <v>193260</v>
      </c>
    </row>
    <row r="35" spans="1:5" x14ac:dyDescent="0.25">
      <c r="A35" t="s">
        <v>125</v>
      </c>
      <c r="D35">
        <f>SUM(Q2:Q31)</f>
        <v>-146690</v>
      </c>
    </row>
    <row r="36" spans="1:5" x14ac:dyDescent="0.25">
      <c r="A36" t="s">
        <v>126</v>
      </c>
      <c r="D36">
        <f>AVERAGE(O2:O31)</f>
        <v>6442</v>
      </c>
    </row>
    <row r="37" spans="1:5" x14ac:dyDescent="0.25">
      <c r="A37" t="s">
        <v>127</v>
      </c>
      <c r="E37">
        <f>MAX(O2:O31)</f>
        <v>11250</v>
      </c>
    </row>
    <row r="38" spans="1:5" x14ac:dyDescent="0.25">
      <c r="A38" t="s">
        <v>128</v>
      </c>
      <c r="E38">
        <f>MIN(O2:O31)</f>
        <v>2400</v>
      </c>
    </row>
    <row r="39" spans="1:5" x14ac:dyDescent="0.25">
      <c r="A39" t="s">
        <v>129</v>
      </c>
      <c r="D39">
        <f>COUNTA(A2:A31)</f>
        <v>30</v>
      </c>
    </row>
    <row r="40" spans="1:5" x14ac:dyDescent="0.25">
      <c r="A40" t="s">
        <v>130</v>
      </c>
      <c r="E40">
        <f>COUNTIF(G2:G31, "Online")</f>
        <v>15</v>
      </c>
    </row>
    <row r="41" spans="1:5" x14ac:dyDescent="0.25">
      <c r="A41" t="s">
        <v>131</v>
      </c>
      <c r="E41">
        <f>COUNTIF(G2:G31, "Store")</f>
        <v>15</v>
      </c>
    </row>
    <row r="42" spans="1:5" x14ac:dyDescent="0.25">
      <c r="A42" t="s">
        <v>132</v>
      </c>
      <c r="D42">
        <f>SUM(H2:H31)</f>
        <v>117</v>
      </c>
    </row>
    <row r="43" spans="1:5" x14ac:dyDescent="0.25">
      <c r="A43" t="s">
        <v>133</v>
      </c>
      <c r="E43">
        <f>AVERAGE(H2:H31)</f>
        <v>3.9</v>
      </c>
    </row>
    <row r="44" spans="1:5" x14ac:dyDescent="0.25">
      <c r="A44" t="s">
        <v>134</v>
      </c>
      <c r="D44">
        <f>SUMIF(E2:E31, "North",O2:O31)</f>
        <v>53580</v>
      </c>
    </row>
    <row r="45" spans="1:5" x14ac:dyDescent="0.25">
      <c r="A45" t="s">
        <v>135</v>
      </c>
      <c r="D45">
        <f>SUMIF(G2:G31, "Online", O2:O31)</f>
        <v>91220</v>
      </c>
    </row>
    <row r="46" spans="1:5" x14ac:dyDescent="0.25">
      <c r="A46" t="s">
        <v>136</v>
      </c>
      <c r="C46">
        <f>SUMIF(F2:F31, "Rahul", Q2:Q31)</f>
        <v>-61070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6B53-1DA8-4B10-85EF-2436DC22440B}">
  <dimension ref="A1:F7"/>
  <sheetViews>
    <sheetView workbookViewId="0">
      <selection activeCell="G1" sqref="G1"/>
    </sheetView>
  </sheetViews>
  <sheetFormatPr defaultRowHeight="15" x14ac:dyDescent="0.25"/>
  <cols>
    <col min="1" max="1" width="10.7109375" bestFit="1" customWidth="1"/>
    <col min="2" max="2" width="20.140625" bestFit="1" customWidth="1"/>
    <col min="3" max="3" width="11.28515625" bestFit="1" customWidth="1"/>
    <col min="4" max="4" width="10.28515625" bestFit="1" customWidth="1"/>
    <col min="5" max="5" width="11.42578125" bestFit="1" customWidth="1"/>
    <col min="6" max="6" width="17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138</v>
      </c>
    </row>
    <row r="2" spans="1:6" x14ac:dyDescent="0.25">
      <c r="A2" t="s">
        <v>5</v>
      </c>
      <c r="B2" t="s">
        <v>6</v>
      </c>
      <c r="C2" t="s">
        <v>7</v>
      </c>
      <c r="D2">
        <v>700</v>
      </c>
      <c r="E2" t="s">
        <v>8</v>
      </c>
      <c r="F2">
        <f>SUMIF('Sales Data'!D2:D31, Products!A2, 'Sales Data'!H2:H31)</f>
        <v>25</v>
      </c>
    </row>
    <row r="3" spans="1:6" x14ac:dyDescent="0.25">
      <c r="A3" t="s">
        <v>9</v>
      </c>
      <c r="B3" t="s">
        <v>10</v>
      </c>
      <c r="C3" t="s">
        <v>7</v>
      </c>
      <c r="D3">
        <v>450</v>
      </c>
      <c r="E3" t="s">
        <v>11</v>
      </c>
      <c r="F3">
        <f>SUMIF('Sales Data'!D3:D32, Products!A3, 'Sales Data'!H3:H32)</f>
        <v>29</v>
      </c>
    </row>
    <row r="4" spans="1:6" x14ac:dyDescent="0.25">
      <c r="A4" t="s">
        <v>12</v>
      </c>
      <c r="B4" t="s">
        <v>13</v>
      </c>
      <c r="C4" t="s">
        <v>7</v>
      </c>
      <c r="D4">
        <v>1400</v>
      </c>
      <c r="E4" t="s">
        <v>14</v>
      </c>
      <c r="F4">
        <f>SUMIF('Sales Data'!D4:D33, Products!A4, 'Sales Data'!H4:H33)</f>
        <v>14</v>
      </c>
    </row>
    <row r="5" spans="1:6" x14ac:dyDescent="0.25">
      <c r="A5" t="s">
        <v>15</v>
      </c>
      <c r="B5" t="s">
        <v>16</v>
      </c>
      <c r="C5" t="s">
        <v>17</v>
      </c>
      <c r="D5">
        <v>9000</v>
      </c>
      <c r="E5" t="s">
        <v>18</v>
      </c>
      <c r="F5">
        <f>SUMIF('Sales Data'!D5:D34, Products!A5, 'Sales Data'!H5:H34)</f>
        <v>27</v>
      </c>
    </row>
    <row r="6" spans="1:6" x14ac:dyDescent="0.25">
      <c r="A6" t="s">
        <v>19</v>
      </c>
      <c r="B6" t="s">
        <v>20</v>
      </c>
      <c r="C6" t="s">
        <v>21</v>
      </c>
      <c r="D6">
        <v>2800</v>
      </c>
      <c r="E6" t="s">
        <v>22</v>
      </c>
      <c r="F6">
        <f>SUMIF('Sales Data'!D6:D35, Products!A6, 'Sales Data'!H6:H35)</f>
        <v>7</v>
      </c>
    </row>
    <row r="7" spans="1:6" x14ac:dyDescent="0.25">
      <c r="A7" t="s">
        <v>23</v>
      </c>
      <c r="B7" t="s">
        <v>24</v>
      </c>
      <c r="C7" t="s">
        <v>17</v>
      </c>
      <c r="D7">
        <v>1800</v>
      </c>
      <c r="E7" t="s">
        <v>25</v>
      </c>
      <c r="F7">
        <f>SUMIF('Sales Data'!D7:D36, Products!A7, 'Sales Data'!H7:H36)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8B6A-1123-407E-8A09-1CDD5F6AC201}">
  <dimension ref="A1:F11"/>
  <sheetViews>
    <sheetView workbookViewId="0">
      <selection sqref="A1:A1048576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4.42578125" bestFit="1" customWidth="1"/>
    <col min="4" max="4" width="7.5703125" bestFit="1" customWidth="1"/>
    <col min="5" max="5" width="11.7109375" bestFit="1" customWidth="1"/>
    <col min="6" max="6" width="18.7109375" bestFit="1" customWidth="1"/>
  </cols>
  <sheetData>
    <row r="1" spans="1: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t="s">
        <v>32</v>
      </c>
      <c r="B2" t="s">
        <v>33</v>
      </c>
      <c r="C2">
        <v>28</v>
      </c>
      <c r="D2" t="s">
        <v>34</v>
      </c>
      <c r="E2" t="s">
        <v>35</v>
      </c>
      <c r="F2" t="s">
        <v>36</v>
      </c>
    </row>
    <row r="3" spans="1:6" x14ac:dyDescent="0.25">
      <c r="A3" t="s">
        <v>37</v>
      </c>
      <c r="B3" t="s">
        <v>38</v>
      </c>
      <c r="C3">
        <v>34</v>
      </c>
      <c r="D3" t="s">
        <v>39</v>
      </c>
      <c r="E3" t="s">
        <v>40</v>
      </c>
      <c r="F3" t="s">
        <v>41</v>
      </c>
    </row>
    <row r="4" spans="1:6" x14ac:dyDescent="0.25">
      <c r="A4" t="s">
        <v>42</v>
      </c>
      <c r="B4" t="s">
        <v>43</v>
      </c>
      <c r="C4">
        <v>25</v>
      </c>
      <c r="D4" t="s">
        <v>34</v>
      </c>
      <c r="E4" t="s">
        <v>44</v>
      </c>
      <c r="F4" t="s">
        <v>45</v>
      </c>
    </row>
    <row r="5" spans="1:6" x14ac:dyDescent="0.25">
      <c r="A5" t="s">
        <v>46</v>
      </c>
      <c r="B5" t="s">
        <v>47</v>
      </c>
      <c r="C5">
        <v>41</v>
      </c>
      <c r="D5" t="s">
        <v>39</v>
      </c>
      <c r="E5" t="s">
        <v>48</v>
      </c>
      <c r="F5" t="s">
        <v>36</v>
      </c>
    </row>
    <row r="6" spans="1:6" x14ac:dyDescent="0.25">
      <c r="A6" t="s">
        <v>49</v>
      </c>
      <c r="B6" t="s">
        <v>50</v>
      </c>
      <c r="C6">
        <v>30</v>
      </c>
      <c r="D6" t="s">
        <v>34</v>
      </c>
      <c r="E6" t="s">
        <v>51</v>
      </c>
      <c r="F6" t="s">
        <v>41</v>
      </c>
    </row>
    <row r="7" spans="1:6" x14ac:dyDescent="0.25">
      <c r="A7" t="s">
        <v>52</v>
      </c>
      <c r="B7" t="s">
        <v>53</v>
      </c>
      <c r="C7">
        <v>26</v>
      </c>
      <c r="D7" t="s">
        <v>39</v>
      </c>
      <c r="E7" t="s">
        <v>35</v>
      </c>
      <c r="F7" t="s">
        <v>45</v>
      </c>
    </row>
    <row r="8" spans="1:6" x14ac:dyDescent="0.25">
      <c r="A8" t="s">
        <v>54</v>
      </c>
      <c r="B8" t="s">
        <v>55</v>
      </c>
      <c r="C8">
        <v>38</v>
      </c>
      <c r="D8" t="s">
        <v>34</v>
      </c>
      <c r="E8" t="s">
        <v>56</v>
      </c>
      <c r="F8" t="s">
        <v>36</v>
      </c>
    </row>
    <row r="9" spans="1:6" x14ac:dyDescent="0.25">
      <c r="A9" t="s">
        <v>57</v>
      </c>
      <c r="B9" t="s">
        <v>58</v>
      </c>
      <c r="C9">
        <v>29</v>
      </c>
      <c r="D9" t="s">
        <v>39</v>
      </c>
      <c r="E9" t="s">
        <v>59</v>
      </c>
      <c r="F9" t="s">
        <v>41</v>
      </c>
    </row>
    <row r="10" spans="1:6" x14ac:dyDescent="0.25">
      <c r="A10" t="s">
        <v>60</v>
      </c>
      <c r="B10" t="s">
        <v>61</v>
      </c>
      <c r="C10">
        <v>45</v>
      </c>
      <c r="D10" t="s">
        <v>34</v>
      </c>
      <c r="E10" t="s">
        <v>62</v>
      </c>
      <c r="F10" t="s">
        <v>36</v>
      </c>
    </row>
    <row r="11" spans="1:6" x14ac:dyDescent="0.25">
      <c r="A11" t="s">
        <v>63</v>
      </c>
      <c r="B11" t="s">
        <v>64</v>
      </c>
      <c r="C11">
        <v>32</v>
      </c>
      <c r="D11" t="s">
        <v>39</v>
      </c>
      <c r="E11" t="s">
        <v>65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Hedau</dc:creator>
  <cp:lastModifiedBy>Suyog Hedau</cp:lastModifiedBy>
  <dcterms:created xsi:type="dcterms:W3CDTF">2026-08-22T16:30:16Z</dcterms:created>
  <dcterms:modified xsi:type="dcterms:W3CDTF">2026-08-22T17:38:07Z</dcterms:modified>
</cp:coreProperties>
</file>