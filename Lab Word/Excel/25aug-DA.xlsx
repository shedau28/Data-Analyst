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OPS DA\Lab Word\Excel\"/>
    </mc:Choice>
  </mc:AlternateContent>
  <xr:revisionPtr revIDLastSave="0" documentId="13_ncr:1_{7C9823F5-058D-4CE2-8DC7-3FFC8D90A802}" xr6:coauthVersionLast="47" xr6:coauthVersionMax="47" xr10:uidLastSave="{00000000-0000-0000-0000-000000000000}"/>
  <bookViews>
    <workbookView xWindow="-120" yWindow="-120" windowWidth="29040" windowHeight="15720" xr2:uid="{3D34FCD9-F839-4963-BF9B-896CE5418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M10" i="1"/>
  <c r="M9" i="1"/>
  <c r="M7" i="1"/>
  <c r="M8" i="1"/>
  <c r="F2" i="1" a="1"/>
  <c r="F2" i="1" s="1"/>
  <c r="M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<sst xmlns="http://schemas.openxmlformats.org/spreadsheetml/2006/main" count="65" uniqueCount="34">
  <si>
    <t>Employee ID</t>
  </si>
  <si>
    <t>Employee Name</t>
  </si>
  <si>
    <t>Department</t>
  </si>
  <si>
    <t>Month</t>
  </si>
  <si>
    <t>Bonus</t>
  </si>
  <si>
    <t>E101</t>
  </si>
  <si>
    <t>Rahul</t>
  </si>
  <si>
    <t>IT</t>
  </si>
  <si>
    <t>January</t>
  </si>
  <si>
    <t>E102</t>
  </si>
  <si>
    <t>Priya</t>
  </si>
  <si>
    <t>HR</t>
  </si>
  <si>
    <t>E103</t>
  </si>
  <si>
    <t>Amit</t>
  </si>
  <si>
    <t>Sales</t>
  </si>
  <si>
    <t>February</t>
  </si>
  <si>
    <t>March</t>
  </si>
  <si>
    <t>E104</t>
  </si>
  <si>
    <t>Neha</t>
  </si>
  <si>
    <t>Finance</t>
  </si>
  <si>
    <t>April</t>
  </si>
  <si>
    <t>June</t>
  </si>
  <si>
    <t>E105</t>
  </si>
  <si>
    <t>Raj</t>
  </si>
  <si>
    <t>July</t>
  </si>
  <si>
    <t>September</t>
  </si>
  <si>
    <t>August</t>
  </si>
  <si>
    <r>
      <t xml:space="preserve">Q1. Find the bonus of Employee ID </t>
    </r>
    <r>
      <rPr>
        <sz val="10"/>
        <color theme="1"/>
        <rFont val="Arial Unicode MS"/>
      </rPr>
      <t>E104</t>
    </r>
    <r>
      <rPr>
        <sz val="11"/>
        <color theme="1"/>
        <rFont val="Aptos Narrow"/>
        <family val="2"/>
        <scheme val="minor"/>
      </rPr>
      <t>.</t>
    </r>
  </si>
  <si>
    <r>
      <t xml:space="preserve">Q2. Find the employee ID of </t>
    </r>
    <r>
      <rPr>
        <sz val="10"/>
        <color theme="1"/>
        <rFont val="Arial Unicode MS"/>
      </rPr>
      <t>Neha</t>
    </r>
    <r>
      <rPr>
        <sz val="11"/>
        <color theme="1"/>
        <rFont val="Aptos Narrow"/>
        <family val="2"/>
        <scheme val="minor"/>
      </rPr>
      <t>.</t>
    </r>
  </si>
  <si>
    <t>Q3. Find the first bonus received by Rahul.</t>
  </si>
  <si>
    <t>Q4. Find the last bonus received by Rahul.</t>
  </si>
  <si>
    <t>Q5.Find the last bonus received by Amit.</t>
  </si>
  <si>
    <t>Unique ID</t>
  </si>
  <si>
    <t>Total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</si>
</sst>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5A1D-D8E6-4DA5-B9C9-4C793B88BC11}">
  <dimension ref="A1:M13"/>
  <sheetViews>
    <sheetView tabSelected="1" workbookViewId="0">
      <selection activeCell="H2" sqref="H2"/>
    </sheetView>
  </sheetViews>
  <sheetFormatPr defaultRowHeight="14.25"/>
  <cols>
    <col min="1" max="1" width="15.875" customWidth="1"/>
    <col min="2" max="2" width="19.125" customWidth="1"/>
    <col min="3" max="3" width="15.5" customWidth="1"/>
    <col min="4" max="4" width="14.875" customWidth="1"/>
    <col min="5" max="5" width="15.75" customWidth="1"/>
  </cols>
  <sheetData>
    <row r="1" spans="1:13" ht="30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32</v>
      </c>
      <c r="G1" s="1" t="s">
        <v>33</v>
      </c>
    </row>
    <row r="2" spans="1:13">
      <c r="A2" s="4" t="s">
        <v>5</v>
      </c>
      <c r="B2" s="4" t="s">
        <v>6</v>
      </c>
      <c r="C2" s="4" t="s">
        <v>7</v>
      </c>
      <c r="D2" s="4" t="s">
        <v>8</v>
      </c>
      <c r="E2" s="2">
        <v>5000</v>
      </c>
      <c r="F2" t="str" cm="1">
        <f t="array" ref="F2:F6">_xlfn.UNIQUE(A2:A13)</f>
        <v>E101</v>
      </c>
      <c r="G2">
        <f>SUMIF(A2:A13, F2, E2:E13)</f>
        <v>33000</v>
      </c>
    </row>
    <row r="3" spans="1:13">
      <c r="A3" s="4" t="s">
        <v>9</v>
      </c>
      <c r="B3" s="4" t="s">
        <v>10</v>
      </c>
      <c r="C3" s="4" t="s">
        <v>11</v>
      </c>
      <c r="D3" s="4" t="s">
        <v>8</v>
      </c>
      <c r="E3" s="2">
        <v>4000</v>
      </c>
      <c r="F3" t="str">
        <v>E102</v>
      </c>
      <c r="G3">
        <f t="shared" ref="G3:G6" si="0">SUMIF(A3:A14, F3, E3:E14)</f>
        <v>18500</v>
      </c>
    </row>
    <row r="4" spans="1:13">
      <c r="A4" s="4" t="s">
        <v>12</v>
      </c>
      <c r="B4" s="4" t="s">
        <v>13</v>
      </c>
      <c r="C4" s="4" t="s">
        <v>14</v>
      </c>
      <c r="D4" s="4" t="s">
        <v>15</v>
      </c>
      <c r="E4" s="2">
        <v>6000</v>
      </c>
      <c r="F4" t="str">
        <v>E103</v>
      </c>
      <c r="G4">
        <f t="shared" si="0"/>
        <v>22500</v>
      </c>
    </row>
    <row r="5" spans="1:13">
      <c r="A5" s="4" t="s">
        <v>5</v>
      </c>
      <c r="B5" s="4" t="s">
        <v>6</v>
      </c>
      <c r="C5" s="4" t="s">
        <v>7</v>
      </c>
      <c r="D5" s="4" t="s">
        <v>16</v>
      </c>
      <c r="E5" s="2">
        <v>7000</v>
      </c>
      <c r="F5" t="str">
        <v>E104</v>
      </c>
      <c r="G5">
        <f t="shared" si="0"/>
        <v>8500</v>
      </c>
    </row>
    <row r="6" spans="1:13">
      <c r="A6" s="4" t="s">
        <v>17</v>
      </c>
      <c r="B6" s="4" t="s">
        <v>18</v>
      </c>
      <c r="C6" s="4" t="s">
        <v>19</v>
      </c>
      <c r="D6" s="4" t="s">
        <v>16</v>
      </c>
      <c r="E6" s="2">
        <v>8500</v>
      </c>
      <c r="F6" t="str">
        <v>E105</v>
      </c>
      <c r="G6">
        <f t="shared" si="0"/>
        <v>8000</v>
      </c>
      <c r="H6" t="s">
        <v>27</v>
      </c>
      <c r="L6" t="s">
        <v>17</v>
      </c>
      <c r="M6">
        <f>VLOOKUP(L6, A:E, 5,FALSE)</f>
        <v>8500</v>
      </c>
    </row>
    <row r="7" spans="1:13">
      <c r="A7" s="4" t="s">
        <v>9</v>
      </c>
      <c r="B7" s="4" t="s">
        <v>10</v>
      </c>
      <c r="C7" s="4" t="s">
        <v>11</v>
      </c>
      <c r="D7" s="4" t="s">
        <v>20</v>
      </c>
      <c r="E7" s="2">
        <v>6500</v>
      </c>
      <c r="H7" t="s">
        <v>28</v>
      </c>
      <c r="L7" t="s">
        <v>18</v>
      </c>
      <c r="M7" t="str">
        <f>_xlfn.XLOOKUP(L7, B2:B13, A2:A13)</f>
        <v>E104</v>
      </c>
    </row>
    <row r="8" spans="1:13">
      <c r="A8" s="4" t="s">
        <v>5</v>
      </c>
      <c r="B8" s="4" t="s">
        <v>6</v>
      </c>
      <c r="C8" s="4" t="s">
        <v>7</v>
      </c>
      <c r="D8" s="4" t="s">
        <v>21</v>
      </c>
      <c r="E8" s="2">
        <v>9000</v>
      </c>
      <c r="H8" s="5" t="s">
        <v>29</v>
      </c>
      <c r="L8" t="s">
        <v>6</v>
      </c>
      <c r="M8">
        <f>_xlfn.XLOOKUP(L8,B2:B13, E2:E13)</f>
        <v>5000</v>
      </c>
    </row>
    <row r="9" spans="1:13">
      <c r="A9" s="4" t="s">
        <v>12</v>
      </c>
      <c r="B9" s="4" t="s">
        <v>13</v>
      </c>
      <c r="C9" s="4" t="s">
        <v>14</v>
      </c>
      <c r="D9" s="4" t="s">
        <v>21</v>
      </c>
      <c r="E9" s="2">
        <v>7500</v>
      </c>
      <c r="H9" t="s">
        <v>30</v>
      </c>
      <c r="L9" t="s">
        <v>6</v>
      </c>
      <c r="M9">
        <f>_xlfn.XLOOKUP(L9, B2:B13, E2:E13,0,0,-1)</f>
        <v>12000</v>
      </c>
    </row>
    <row r="10" spans="1:13">
      <c r="A10" s="4" t="s">
        <v>22</v>
      </c>
      <c r="B10" s="4" t="s">
        <v>23</v>
      </c>
      <c r="C10" s="4" t="s">
        <v>19</v>
      </c>
      <c r="D10" s="4" t="s">
        <v>24</v>
      </c>
      <c r="E10" s="2">
        <v>8000</v>
      </c>
      <c r="H10" t="s">
        <v>31</v>
      </c>
      <c r="L10" t="s">
        <v>13</v>
      </c>
      <c r="M10">
        <f>_xlfn.XLOOKUP(L10,B2:B13, E2:E13, 0,0,-1)</f>
        <v>9000</v>
      </c>
    </row>
    <row r="11" spans="1:13">
      <c r="A11" s="4" t="s">
        <v>5</v>
      </c>
      <c r="B11" s="4" t="s">
        <v>6</v>
      </c>
      <c r="C11" s="4" t="s">
        <v>7</v>
      </c>
      <c r="D11" s="4" t="s">
        <v>25</v>
      </c>
      <c r="E11" s="2">
        <v>12000</v>
      </c>
    </row>
    <row r="12" spans="1:13">
      <c r="A12" s="4" t="s">
        <v>9</v>
      </c>
      <c r="B12" s="4" t="s">
        <v>10</v>
      </c>
      <c r="C12" s="4" t="s">
        <v>11</v>
      </c>
      <c r="D12" s="4" t="s">
        <v>26</v>
      </c>
      <c r="E12" s="2">
        <v>8000</v>
      </c>
    </row>
    <row r="13" spans="1:13">
      <c r="A13" s="4" t="s">
        <v>12</v>
      </c>
      <c r="B13" s="4" t="s">
        <v>13</v>
      </c>
      <c r="C13" s="4" t="s">
        <v>14</v>
      </c>
      <c r="D13" s="4" t="s">
        <v>26</v>
      </c>
      <c r="E13" s="2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Dishant Shah</dc:creator>
  <cp:lastModifiedBy>Suyog Hedau</cp:lastModifiedBy>
  <dcterms:created xsi:type="dcterms:W3CDTF">2026-08-25T04:37:15Z</dcterms:created>
  <dcterms:modified xsi:type="dcterms:W3CDTF">2026-08-25T05:28:39Z</dcterms:modified>
</cp:coreProperties>
</file>