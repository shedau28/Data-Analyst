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Raw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Employee_Master" sheetId="3" state="visible" r:id="rId3"/>
    <sheet xmlns:r="http://schemas.openxmlformats.org/officeDocument/2006/relationships" name="Monthly_Targets" sheetId="4" state="visible" r:id="rId4"/>
    <sheet xmlns:r="http://schemas.openxmlformats.org/officeDocument/2006/relationships" name="Cleaning_Practice" sheetId="5" state="visible" r:id="rId5"/>
    <sheet xmlns:r="http://schemas.openxmlformats.org/officeDocument/2006/relationships" name="Practice_Questions" sheetId="6" state="visible" r:id="rId6"/>
    <sheet xmlns:r="http://schemas.openxmlformats.org/officeDocument/2006/relationships" name="Answer_Ke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3" customWidth="1" min="5" max="5"/>
    <col width="15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5" customWidth="1" min="17" max="17"/>
    <col width="14" customWidth="1" min="18" max="18"/>
    <col width="12" customWidth="1" min="19" max="19"/>
    <col width="16" customWidth="1" min="20" max="20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Salesperson</t>
        </is>
      </c>
      <c r="F1" s="1" t="inlineStr">
        <is>
          <t>CustomerName</t>
        </is>
      </c>
      <c r="G1" s="1" t="inlineStr">
        <is>
          <t>Category</t>
        </is>
      </c>
      <c r="H1" s="1" t="inlineStr">
        <is>
          <t>ProductID</t>
        </is>
      </c>
      <c r="I1" s="1" t="inlineStr">
        <is>
          <t>ProductName</t>
        </is>
      </c>
      <c r="J1" s="1" t="inlineStr">
        <is>
          <t>Units</t>
        </is>
      </c>
      <c r="K1" s="1" t="inlineStr">
        <is>
          <t>UnitPrice</t>
        </is>
      </c>
      <c r="L1" s="1" t="inlineStr">
        <is>
          <t>Discount</t>
        </is>
      </c>
      <c r="M1" s="1" t="inlineStr">
        <is>
          <t>Sales</t>
        </is>
      </c>
      <c r="N1" s="1" t="inlineStr">
        <is>
          <t>Target</t>
        </is>
      </c>
      <c r="O1" s="1" t="inlineStr">
        <is>
          <t>ShipDate</t>
        </is>
      </c>
      <c r="P1" s="1" t="inlineStr">
        <is>
          <t>DeliveryDate</t>
        </is>
      </c>
      <c r="Q1" s="1" t="inlineStr">
        <is>
          <t>PaymentMethod</t>
        </is>
      </c>
      <c r="R1" s="1" t="inlineStr">
        <is>
          <t>CustomerType</t>
        </is>
      </c>
      <c r="S1" s="1" t="inlineStr">
        <is>
          <t>Rating</t>
        </is>
      </c>
      <c r="T1" s="1" t="inlineStr">
        <is>
          <t>Notes</t>
        </is>
      </c>
    </row>
    <row r="2">
      <c r="A2" t="inlineStr">
        <is>
          <t>O0001</t>
        </is>
      </c>
      <c r="B2" s="2" t="n">
        <v>45798</v>
      </c>
      <c r="C2" t="inlineStr">
        <is>
          <t>East</t>
        </is>
      </c>
      <c r="D2" t="inlineStr">
        <is>
          <t>New York</t>
        </is>
      </c>
      <c r="E2" t="inlineStr">
        <is>
          <t>John Smith</t>
        </is>
      </c>
      <c r="F2" t="inlineStr">
        <is>
          <t>Sara Khan</t>
        </is>
      </c>
      <c r="G2" t="inlineStr">
        <is>
          <t>Accessory</t>
        </is>
      </c>
      <c r="H2" t="inlineStr">
        <is>
          <t>P112</t>
        </is>
      </c>
      <c r="I2" t="inlineStr">
        <is>
          <t>PowerBank</t>
        </is>
      </c>
      <c r="J2" t="n">
        <v>3</v>
      </c>
      <c r="K2" s="3" t="n">
        <v>49</v>
      </c>
      <c r="L2" s="4" t="n">
        <v>0</v>
      </c>
      <c r="M2" s="3" t="n">
        <v>147</v>
      </c>
      <c r="N2" s="3" t="n">
        <v>2500</v>
      </c>
      <c r="O2" s="2" t="n">
        <v>45800</v>
      </c>
      <c r="P2" s="2" t="n">
        <v>45802</v>
      </c>
      <c r="Q2" t="inlineStr">
        <is>
          <t>Credit Card</t>
        </is>
      </c>
      <c r="R2" t="inlineStr">
        <is>
          <t>Corporate</t>
        </is>
      </c>
      <c r="S2" t="n">
        <v>4</v>
      </c>
      <c r="T2" t="inlineStr">
        <is>
          <t xml:space="preserve"> normal </t>
        </is>
      </c>
    </row>
    <row r="3">
      <c r="A3" t="inlineStr">
        <is>
          <t>O0002</t>
        </is>
      </c>
      <c r="B3" s="2" t="n">
        <v>45777</v>
      </c>
      <c r="C3" t="inlineStr">
        <is>
          <t>East</t>
        </is>
      </c>
      <c r="D3" t="inlineStr">
        <is>
          <t>New York</t>
        </is>
      </c>
      <c r="E3" t="inlineStr">
        <is>
          <t>Sara Khan</t>
        </is>
      </c>
      <c r="F3" t="inlineStr">
        <is>
          <t>Sara Khan</t>
        </is>
      </c>
      <c r="G3" t="inlineStr">
        <is>
          <t>Laptop</t>
        </is>
      </c>
      <c r="H3" t="inlineStr">
        <is>
          <t>P104</t>
        </is>
      </c>
      <c r="I3" t="inlineStr">
        <is>
          <t>Inspiron 15</t>
        </is>
      </c>
      <c r="J3" t="n">
        <v>1</v>
      </c>
      <c r="K3" s="3" t="n">
        <v>749</v>
      </c>
      <c r="L3" s="4" t="n">
        <v>0.15</v>
      </c>
      <c r="M3" s="3" t="n">
        <v>636.65</v>
      </c>
      <c r="N3" s="3" t="n">
        <v>500</v>
      </c>
      <c r="O3" s="2" t="n">
        <v>45782</v>
      </c>
      <c r="P3" s="2" t="n">
        <v>45787</v>
      </c>
      <c r="Q3" t="inlineStr">
        <is>
          <t>Bank Transfer</t>
        </is>
      </c>
      <c r="R3" t="inlineStr">
        <is>
          <t>New</t>
        </is>
      </c>
      <c r="S3" t="n">
        <v>4</v>
      </c>
      <c r="T3" t="inlineStr">
        <is>
          <t>NORMAL</t>
        </is>
      </c>
    </row>
    <row r="4">
      <c r="A4" t="inlineStr">
        <is>
          <t>O0003</t>
        </is>
      </c>
      <c r="B4" s="2" t="n">
        <v>46015</v>
      </c>
      <c r="C4" t="inlineStr">
        <is>
          <t>North</t>
        </is>
      </c>
      <c r="D4" t="inlineStr">
        <is>
          <t>Illinois</t>
        </is>
      </c>
      <c r="E4" t="inlineStr">
        <is>
          <t>Amit Shah</t>
        </is>
      </c>
      <c r="F4" t="inlineStr">
        <is>
          <t>PRIYA PATEL</t>
        </is>
      </c>
      <c r="G4" t="inlineStr">
        <is>
          <t>Laptop</t>
        </is>
      </c>
      <c r="H4" t="inlineStr">
        <is>
          <t>P103</t>
        </is>
      </c>
      <c r="I4" t="inlineStr">
        <is>
          <t>ThinkPad E14</t>
        </is>
      </c>
      <c r="J4" t="n">
        <v>5</v>
      </c>
      <c r="K4" s="3" t="n">
        <v>899</v>
      </c>
      <c r="L4" s="4" t="n">
        <v>0.02</v>
      </c>
      <c r="M4" s="3" t="n">
        <v>4405.1</v>
      </c>
      <c r="N4" s="3" t="n">
        <v>500</v>
      </c>
      <c r="O4" s="2" t="n">
        <v>46019</v>
      </c>
      <c r="P4" s="2" t="n">
        <v>46022</v>
      </c>
      <c r="Q4" t="inlineStr">
        <is>
          <t>Credit Card</t>
        </is>
      </c>
      <c r="R4" t="inlineStr">
        <is>
          <t>Returning</t>
        </is>
      </c>
      <c r="S4" t="n">
        <v>1</v>
      </c>
      <c r="T4" t="inlineStr">
        <is>
          <t>ok</t>
        </is>
      </c>
    </row>
    <row r="5">
      <c r="A5" t="inlineStr">
        <is>
          <t>O0004</t>
        </is>
      </c>
      <c r="B5" s="2" t="n">
        <v>45680</v>
      </c>
      <c r="C5" t="inlineStr">
        <is>
          <t>North</t>
        </is>
      </c>
      <c r="D5" t="inlineStr">
        <is>
          <t>Minnesota</t>
        </is>
      </c>
      <c r="E5" t="inlineStr">
        <is>
          <t>Rahul Mehta</t>
        </is>
      </c>
      <c r="F5" t="inlineStr">
        <is>
          <t>John Smith</t>
        </is>
      </c>
      <c r="G5" t="inlineStr">
        <is>
          <t>Tablet</t>
        </is>
      </c>
      <c r="H5" t="inlineStr">
        <is>
          <t>P105</t>
        </is>
      </c>
      <c r="I5" t="inlineStr">
        <is>
          <t>iPad Air</t>
        </is>
      </c>
      <c r="J5" t="n">
        <v>2</v>
      </c>
      <c r="K5" s="3" t="n">
        <v>599</v>
      </c>
      <c r="L5" s="4" t="n">
        <v>0.1</v>
      </c>
      <c r="M5" s="3" t="n">
        <v>1078.2</v>
      </c>
      <c r="N5" s="3" t="n">
        <v>300</v>
      </c>
      <c r="O5" s="2" t="n">
        <v>45684</v>
      </c>
      <c r="P5" s="2" t="n">
        <v>45689</v>
      </c>
      <c r="Q5" t="inlineStr">
        <is>
          <t>Cash</t>
        </is>
      </c>
      <c r="R5" t="inlineStr">
        <is>
          <t>Corporate</t>
        </is>
      </c>
      <c r="S5" t="n">
        <v>2</v>
      </c>
      <c r="T5" t="inlineStr">
        <is>
          <t>refund pending</t>
        </is>
      </c>
    </row>
    <row r="6">
      <c r="A6" t="inlineStr">
        <is>
          <t>O0005</t>
        </is>
      </c>
      <c r="B6" s="2" t="n">
        <v>45774</v>
      </c>
      <c r="C6" t="inlineStr">
        <is>
          <t>East</t>
        </is>
      </c>
      <c r="D6" t="inlineStr">
        <is>
          <t>New York</t>
        </is>
      </c>
      <c r="E6" t="inlineStr">
        <is>
          <t>Neha Joshi</t>
        </is>
      </c>
      <c r="F6" t="inlineStr">
        <is>
          <t xml:space="preserve"> Rahul Shah </t>
        </is>
      </c>
      <c r="G6" t="inlineStr">
        <is>
          <t>Accessory</t>
        </is>
      </c>
      <c r="H6" t="inlineStr">
        <is>
          <t>P111</t>
        </is>
      </c>
      <c r="I6" t="inlineStr">
        <is>
          <t>Mouse</t>
        </is>
      </c>
      <c r="J6" t="n">
        <v>14</v>
      </c>
      <c r="K6" s="3" t="n">
        <v>39</v>
      </c>
      <c r="L6" s="4" t="n">
        <v>0.02</v>
      </c>
      <c r="M6" s="3" t="n">
        <v>535.08</v>
      </c>
      <c r="N6" s="3" t="n">
        <v>5000</v>
      </c>
      <c r="O6" s="2" t="n">
        <v>45777</v>
      </c>
      <c r="P6" s="2" t="n">
        <v>45778</v>
      </c>
      <c r="Q6" t="inlineStr">
        <is>
          <t>Cash</t>
        </is>
      </c>
      <c r="R6" t="inlineStr">
        <is>
          <t>Returning</t>
        </is>
      </c>
      <c r="S6" t="n">
        <v>3</v>
      </c>
      <c r="T6" t="inlineStr">
        <is>
          <t>urgent</t>
        </is>
      </c>
    </row>
    <row r="7">
      <c r="A7" t="inlineStr">
        <is>
          <t>O0006</t>
        </is>
      </c>
      <c r="B7" s="2" t="n">
        <v>46001</v>
      </c>
      <c r="C7" t="inlineStr">
        <is>
          <t>North</t>
        </is>
      </c>
      <c r="D7" t="inlineStr">
        <is>
          <t>Michigan</t>
        </is>
      </c>
      <c r="E7" t="inlineStr">
        <is>
          <t>Priya Patel</t>
        </is>
      </c>
      <c r="F7" t="inlineStr">
        <is>
          <t>Sara Khan</t>
        </is>
      </c>
      <c r="G7" t="inlineStr">
        <is>
          <t>Laptop</t>
        </is>
      </c>
      <c r="H7" t="inlineStr">
        <is>
          <t>P104</t>
        </is>
      </c>
      <c r="I7" t="inlineStr">
        <is>
          <t>Inspiron 15</t>
        </is>
      </c>
      <c r="J7" t="n">
        <v>15</v>
      </c>
      <c r="K7" s="3" t="n">
        <v>749</v>
      </c>
      <c r="L7" s="4" t="n">
        <v>0</v>
      </c>
      <c r="M7" s="3" t="n">
        <v>11235</v>
      </c>
      <c r="N7" s="3" t="n">
        <v>1500</v>
      </c>
      <c r="O7" s="2" t="n">
        <v>46004</v>
      </c>
      <c r="P7" s="2" t="n">
        <v>46010</v>
      </c>
      <c r="Q7" t="inlineStr">
        <is>
          <t>UPI</t>
        </is>
      </c>
      <c r="R7" t="inlineStr">
        <is>
          <t>New</t>
        </is>
      </c>
      <c r="S7" t="n">
        <v>4</v>
      </c>
      <c r="T7" t="inlineStr">
        <is>
          <t xml:space="preserve">  follow-up  </t>
        </is>
      </c>
    </row>
    <row r="8">
      <c r="A8" t="inlineStr">
        <is>
          <t>O0007</t>
        </is>
      </c>
      <c r="B8" s="2" t="n">
        <v>45943</v>
      </c>
      <c r="C8" t="inlineStr">
        <is>
          <t>North</t>
        </is>
      </c>
      <c r="D8" t="inlineStr">
        <is>
          <t>Minnesota</t>
        </is>
      </c>
      <c r="E8" t="inlineStr">
        <is>
          <t>Rahul Mehta</t>
        </is>
      </c>
      <c r="F8" t="inlineStr">
        <is>
          <t xml:space="preserve"> Rahul Shah </t>
        </is>
      </c>
      <c r="G8" t="inlineStr">
        <is>
          <t>Accessory</t>
        </is>
      </c>
      <c r="H8" t="inlineStr">
        <is>
          <t>P112</t>
        </is>
      </c>
      <c r="I8" t="inlineStr">
        <is>
          <t>PowerBank</t>
        </is>
      </c>
      <c r="J8" t="n">
        <v>6</v>
      </c>
      <c r="K8" s="3" t="n">
        <v>49</v>
      </c>
      <c r="L8" s="4" t="n">
        <v>0</v>
      </c>
      <c r="M8" s="3" t="n">
        <v>294</v>
      </c>
      <c r="N8" s="3" t="n">
        <v>500</v>
      </c>
      <c r="O8" s="2" t="n">
        <v>45945</v>
      </c>
      <c r="P8" s="2" t="n">
        <v>45951</v>
      </c>
      <c r="Q8" t="inlineStr">
        <is>
          <t>Bank Transfer</t>
        </is>
      </c>
      <c r="R8" t="inlineStr">
        <is>
          <t>Returning</t>
        </is>
      </c>
      <c r="S8" t="n">
        <v>1</v>
      </c>
      <c r="T8" t="inlineStr">
        <is>
          <t>urgent</t>
        </is>
      </c>
    </row>
    <row r="9">
      <c r="A9" t="inlineStr">
        <is>
          <t>O0008</t>
        </is>
      </c>
      <c r="B9" s="2" t="n">
        <v>45913</v>
      </c>
      <c r="C9" t="inlineStr">
        <is>
          <t>North</t>
        </is>
      </c>
      <c r="D9" t="inlineStr">
        <is>
          <t>Illinois</t>
        </is>
      </c>
      <c r="E9" t="inlineStr">
        <is>
          <t>Priya Patel</t>
        </is>
      </c>
      <c r="F9" t="inlineStr">
        <is>
          <t>rAhUl shAh</t>
        </is>
      </c>
      <c r="G9" t="inlineStr">
        <is>
          <t>Accessory</t>
        </is>
      </c>
      <c r="H9" t="inlineStr">
        <is>
          <t>P111</t>
        </is>
      </c>
      <c r="I9" t="inlineStr">
        <is>
          <t>Mouse</t>
        </is>
      </c>
      <c r="J9" t="n">
        <v>8</v>
      </c>
      <c r="K9" s="3" t="n">
        <v>39</v>
      </c>
      <c r="L9" s="4" t="n">
        <v>0.02</v>
      </c>
      <c r="M9" s="3" t="n">
        <v>305.76</v>
      </c>
      <c r="N9" s="3" t="n">
        <v>750</v>
      </c>
      <c r="O9" s="2" t="n">
        <v>45917</v>
      </c>
      <c r="P9" s="2" t="n">
        <v>45923</v>
      </c>
      <c r="Q9" t="inlineStr">
        <is>
          <t>Cash</t>
        </is>
      </c>
      <c r="R9" t="inlineStr">
        <is>
          <t>Corporate</t>
        </is>
      </c>
      <c r="S9" t="n">
        <v>5</v>
      </c>
      <c r="T9" t="inlineStr">
        <is>
          <t xml:space="preserve">  follow-up  </t>
        </is>
      </c>
    </row>
    <row r="10">
      <c r="A10" t="inlineStr">
        <is>
          <t>O0009</t>
        </is>
      </c>
      <c r="B10" s="2" t="n">
        <v>45728</v>
      </c>
      <c r="C10" t="inlineStr">
        <is>
          <t>South</t>
        </is>
      </c>
      <c r="D10" t="inlineStr">
        <is>
          <t>Georgia</t>
        </is>
      </c>
      <c r="E10" t="inlineStr">
        <is>
          <t>Priya Patel</t>
        </is>
      </c>
      <c r="F10" t="inlineStr">
        <is>
          <t xml:space="preserve"> Rahul Shah </t>
        </is>
      </c>
      <c r="G10" t="inlineStr">
        <is>
          <t>Laptop</t>
        </is>
      </c>
      <c r="H10" t="inlineStr">
        <is>
          <t>P104</t>
        </is>
      </c>
      <c r="I10" t="inlineStr">
        <is>
          <t>Inspiron 15</t>
        </is>
      </c>
      <c r="J10" t="n">
        <v>2</v>
      </c>
      <c r="K10" s="3" t="n">
        <v>749</v>
      </c>
      <c r="L10" s="4" t="n">
        <v>0</v>
      </c>
      <c r="M10" s="3" t="n">
        <v>1498</v>
      </c>
      <c r="N10" s="3" t="n">
        <v>5000</v>
      </c>
      <c r="O10" s="2" t="n">
        <v>45733</v>
      </c>
      <c r="P10" s="2" t="n">
        <v>45737</v>
      </c>
      <c r="Q10" t="inlineStr">
        <is>
          <t>UPI</t>
        </is>
      </c>
      <c r="R10" t="inlineStr">
        <is>
          <t>Corporate</t>
        </is>
      </c>
      <c r="S10" t="n">
        <v>4</v>
      </c>
      <c r="T10" t="inlineStr">
        <is>
          <t>NORMAL</t>
        </is>
      </c>
    </row>
    <row r="11">
      <c r="A11" t="inlineStr">
        <is>
          <t>O0010</t>
        </is>
      </c>
      <c r="B11" s="2" t="n">
        <v>45963</v>
      </c>
      <c r="C11" t="inlineStr">
        <is>
          <t>East</t>
        </is>
      </c>
      <c r="D11" t="inlineStr">
        <is>
          <t>Massachusetts</t>
        </is>
      </c>
      <c r="E11" t="inlineStr">
        <is>
          <t>Sara Khan</t>
        </is>
      </c>
      <c r="F11" t="inlineStr">
        <is>
          <t xml:space="preserve"> Rahul Shah </t>
        </is>
      </c>
      <c r="G11" t="inlineStr">
        <is>
          <t>Audio</t>
        </is>
      </c>
      <c r="H11" t="inlineStr">
        <is>
          <t>P107</t>
        </is>
      </c>
      <c r="I11" t="inlineStr">
        <is>
          <t>AirPods</t>
        </is>
      </c>
      <c r="J11" t="n">
        <v>5</v>
      </c>
      <c r="K11" s="3" t="n">
        <v>179</v>
      </c>
      <c r="L11" s="4" t="n">
        <v>0.15</v>
      </c>
      <c r="M11" s="3" t="n">
        <v>760.75</v>
      </c>
      <c r="N11" s="3" t="n">
        <v>5000</v>
      </c>
      <c r="O11" s="2" t="n">
        <v>45967</v>
      </c>
      <c r="P11" s="2" t="n">
        <v>45972</v>
      </c>
      <c r="Q11" t="inlineStr">
        <is>
          <t>Credit Card</t>
        </is>
      </c>
      <c r="R11" t="inlineStr">
        <is>
          <t>Corporate</t>
        </is>
      </c>
      <c r="S11" t="n">
        <v>5</v>
      </c>
      <c r="T11" t="inlineStr"/>
    </row>
    <row r="12">
      <c r="A12" t="inlineStr">
        <is>
          <t>O0011</t>
        </is>
      </c>
      <c r="B12" s="2" t="n">
        <v>45715</v>
      </c>
      <c r="C12" t="inlineStr">
        <is>
          <t>North</t>
        </is>
      </c>
      <c r="D12" t="inlineStr">
        <is>
          <t>Minnesota</t>
        </is>
      </c>
      <c r="E12" t="inlineStr">
        <is>
          <t>Sara Khan</t>
        </is>
      </c>
      <c r="F12" t="inlineStr">
        <is>
          <t>Sara Khan</t>
        </is>
      </c>
      <c r="G12" t="inlineStr">
        <is>
          <t>Tablet</t>
        </is>
      </c>
      <c r="H12" t="inlineStr">
        <is>
          <t>P106</t>
        </is>
      </c>
      <c r="I12" t="inlineStr">
        <is>
          <t>Galaxy Tab</t>
        </is>
      </c>
      <c r="J12" t="n">
        <v>3</v>
      </c>
      <c r="K12" s="3" t="n">
        <v>499</v>
      </c>
      <c r="L12" s="4" t="n">
        <v>0.1</v>
      </c>
      <c r="M12" s="3" t="n">
        <v>1347.3</v>
      </c>
      <c r="N12" s="3" t="n">
        <v>300</v>
      </c>
      <c r="O12" s="2" t="n">
        <v>45718</v>
      </c>
      <c r="P12" s="2" t="n">
        <v>45722</v>
      </c>
      <c r="Q12" t="inlineStr">
        <is>
          <t>Cash</t>
        </is>
      </c>
      <c r="R12" t="inlineStr">
        <is>
          <t>Corporate</t>
        </is>
      </c>
      <c r="S12" t="n">
        <v>2</v>
      </c>
      <c r="T12" t="inlineStr">
        <is>
          <t>NORMAL</t>
        </is>
      </c>
    </row>
    <row r="13">
      <c r="A13" t="inlineStr">
        <is>
          <t>O0012</t>
        </is>
      </c>
      <c r="B13" s="2" t="n">
        <v>45985</v>
      </c>
      <c r="C13" t="inlineStr">
        <is>
          <t>East</t>
        </is>
      </c>
      <c r="D13" t="inlineStr">
        <is>
          <t>New Jersey</t>
        </is>
      </c>
      <c r="E13" t="inlineStr">
        <is>
          <t>John Smith</t>
        </is>
      </c>
      <c r="F13" t="inlineStr">
        <is>
          <t>rAhUl shAh</t>
        </is>
      </c>
      <c r="G13" t="inlineStr">
        <is>
          <t>Tablet</t>
        </is>
      </c>
      <c r="H13" t="inlineStr">
        <is>
          <t>P105</t>
        </is>
      </c>
      <c r="I13" t="inlineStr">
        <is>
          <t>iPad Air</t>
        </is>
      </c>
      <c r="J13" t="n">
        <v>4</v>
      </c>
      <c r="K13" s="3" t="n">
        <v>599</v>
      </c>
      <c r="L13" s="4" t="n">
        <v>0.02</v>
      </c>
      <c r="M13" s="3" t="n">
        <v>2348.08</v>
      </c>
      <c r="N13" s="3" t="n">
        <v>750</v>
      </c>
      <c r="O13" s="2" t="n">
        <v>45990</v>
      </c>
      <c r="P13" s="2" t="n">
        <v>45995</v>
      </c>
      <c r="Q13" t="inlineStr">
        <is>
          <t>Credit Card</t>
        </is>
      </c>
      <c r="R13" t="inlineStr">
        <is>
          <t>Corporate</t>
        </is>
      </c>
      <c r="S13" t="n">
        <v>3</v>
      </c>
      <c r="T13" t="inlineStr">
        <is>
          <t xml:space="preserve">  follow-up  </t>
        </is>
      </c>
    </row>
    <row r="14">
      <c r="A14" t="inlineStr">
        <is>
          <t>O0013</t>
        </is>
      </c>
      <c r="B14" s="2" t="n">
        <v>45815</v>
      </c>
      <c r="C14" t="inlineStr">
        <is>
          <t>East</t>
        </is>
      </c>
      <c r="D14" t="inlineStr">
        <is>
          <t>New York</t>
        </is>
      </c>
      <c r="E14" t="inlineStr">
        <is>
          <t>Sara Khan</t>
        </is>
      </c>
      <c r="F14" t="inlineStr">
        <is>
          <t xml:space="preserve"> Rahul Shah </t>
        </is>
      </c>
      <c r="G14" t="inlineStr">
        <is>
          <t>Tablet</t>
        </is>
      </c>
      <c r="H14" t="inlineStr">
        <is>
          <t>P106</t>
        </is>
      </c>
      <c r="I14" t="inlineStr">
        <is>
          <t>Galaxy Tab</t>
        </is>
      </c>
      <c r="J14" t="n">
        <v>4</v>
      </c>
      <c r="K14" s="3" t="n">
        <v>499</v>
      </c>
      <c r="L14" s="4" t="n">
        <v>0.15</v>
      </c>
      <c r="M14" s="3" t="n">
        <v>1696.6</v>
      </c>
      <c r="N14" s="3" t="n">
        <v>300</v>
      </c>
      <c r="O14" s="2" t="n">
        <v>45817</v>
      </c>
      <c r="P14" s="2" t="n">
        <v>45818</v>
      </c>
      <c r="Q14" t="inlineStr">
        <is>
          <t>Bank Transfer</t>
        </is>
      </c>
      <c r="R14" t="inlineStr">
        <is>
          <t>New</t>
        </is>
      </c>
      <c r="S14" t="n">
        <v>5</v>
      </c>
      <c r="T14" t="inlineStr"/>
    </row>
    <row r="15">
      <c r="A15" t="inlineStr">
        <is>
          <t>O0014</t>
        </is>
      </c>
      <c r="B15" s="2" t="n">
        <v>45901</v>
      </c>
      <c r="C15" t="inlineStr">
        <is>
          <t>West</t>
        </is>
      </c>
      <c r="D15" t="inlineStr">
        <is>
          <t>California</t>
        </is>
      </c>
      <c r="E15" t="inlineStr">
        <is>
          <t>Neha Joshi</t>
        </is>
      </c>
      <c r="F15" t="inlineStr">
        <is>
          <t>John Smith</t>
        </is>
      </c>
      <c r="G15" t="inlineStr">
        <is>
          <t>Accessory</t>
        </is>
      </c>
      <c r="H15" t="inlineStr">
        <is>
          <t>P111</t>
        </is>
      </c>
      <c r="I15" t="inlineStr">
        <is>
          <t>Mouse</t>
        </is>
      </c>
      <c r="J15" t="n">
        <v>5</v>
      </c>
      <c r="K15" s="3" t="n">
        <v>39</v>
      </c>
      <c r="L15" s="4" t="n">
        <v>0.15</v>
      </c>
      <c r="M15" s="3" t="n">
        <v>165.75</v>
      </c>
      <c r="N15" s="3" t="n">
        <v>5000</v>
      </c>
      <c r="O15" s="2" t="n">
        <v>45906</v>
      </c>
      <c r="P15" s="2" t="n">
        <v>45908</v>
      </c>
      <c r="Q15" t="inlineStr">
        <is>
          <t>UPI</t>
        </is>
      </c>
      <c r="R15" t="inlineStr">
        <is>
          <t>Corporate</t>
        </is>
      </c>
      <c r="S15" t="n">
        <v>2</v>
      </c>
      <c r="T15" t="inlineStr">
        <is>
          <t>refund pending</t>
        </is>
      </c>
    </row>
    <row r="16">
      <c r="A16" t="inlineStr">
        <is>
          <t>O0015</t>
        </is>
      </c>
      <c r="B16" s="2" t="n">
        <v>45990</v>
      </c>
      <c r="C16" t="inlineStr">
        <is>
          <t>North</t>
        </is>
      </c>
      <c r="D16" t="inlineStr">
        <is>
          <t>Michigan</t>
        </is>
      </c>
      <c r="E16" t="inlineStr">
        <is>
          <t>Priya Patel</t>
        </is>
      </c>
      <c r="F16" t="inlineStr">
        <is>
          <t xml:space="preserve"> Rahul Shah </t>
        </is>
      </c>
      <c r="G16" t="inlineStr">
        <is>
          <t>Accessory</t>
        </is>
      </c>
      <c r="H16" t="inlineStr">
        <is>
          <t>P111</t>
        </is>
      </c>
      <c r="I16" t="inlineStr">
        <is>
          <t>Mouse</t>
        </is>
      </c>
      <c r="J16" t="n">
        <v>15</v>
      </c>
      <c r="K16" s="3" t="n">
        <v>39</v>
      </c>
      <c r="L16" s="4" t="n">
        <v>0.15</v>
      </c>
      <c r="M16" s="3" t="n">
        <v>497.25</v>
      </c>
      <c r="N16" s="3" t="n">
        <v>1000</v>
      </c>
      <c r="O16" s="2" t="n">
        <v>45993</v>
      </c>
      <c r="P16" s="2" t="n">
        <v>45997</v>
      </c>
      <c r="Q16" t="inlineStr">
        <is>
          <t>UPI</t>
        </is>
      </c>
      <c r="R16" t="inlineStr">
        <is>
          <t>New</t>
        </is>
      </c>
      <c r="S16" t="n">
        <v>3</v>
      </c>
      <c r="T16" t="inlineStr">
        <is>
          <t xml:space="preserve"> normal </t>
        </is>
      </c>
    </row>
    <row r="17">
      <c r="A17" t="inlineStr">
        <is>
          <t>O0016</t>
        </is>
      </c>
      <c r="B17" s="2" t="n">
        <v>45661</v>
      </c>
      <c r="C17" t="inlineStr">
        <is>
          <t>West</t>
        </is>
      </c>
      <c r="D17" t="inlineStr">
        <is>
          <t>Washington</t>
        </is>
      </c>
      <c r="E17" t="inlineStr">
        <is>
          <t>Amit Shah</t>
        </is>
      </c>
      <c r="F17" t="inlineStr">
        <is>
          <t xml:space="preserve"> Rahul Shah </t>
        </is>
      </c>
      <c r="G17" t="inlineStr">
        <is>
          <t>Laptop</t>
        </is>
      </c>
      <c r="H17" t="inlineStr">
        <is>
          <t>P104</t>
        </is>
      </c>
      <c r="I17" t="inlineStr">
        <is>
          <t>Inspiron 15</t>
        </is>
      </c>
      <c r="J17" t="n">
        <v>11</v>
      </c>
      <c r="K17" s="3" t="n">
        <v>749</v>
      </c>
      <c r="L17" s="4" t="n">
        <v>0</v>
      </c>
      <c r="M17" s="3" t="n">
        <v>8239</v>
      </c>
      <c r="N17" s="3" t="n">
        <v>500</v>
      </c>
      <c r="O17" s="2" t="n">
        <v>45662</v>
      </c>
      <c r="P17" s="2" t="n">
        <v>45668</v>
      </c>
      <c r="Q17" t="inlineStr">
        <is>
          <t>Cash</t>
        </is>
      </c>
      <c r="R17" t="inlineStr">
        <is>
          <t>New</t>
        </is>
      </c>
      <c r="S17" t="n">
        <v>5</v>
      </c>
      <c r="T17" t="inlineStr">
        <is>
          <t>urgent</t>
        </is>
      </c>
    </row>
    <row r="18">
      <c r="A18" t="inlineStr">
        <is>
          <t>O0017</t>
        </is>
      </c>
      <c r="B18" s="2" t="n">
        <v>45767</v>
      </c>
      <c r="C18" t="inlineStr">
        <is>
          <t>North</t>
        </is>
      </c>
      <c r="D18" t="inlineStr">
        <is>
          <t>Minnesota</t>
        </is>
      </c>
      <c r="E18" t="inlineStr">
        <is>
          <t>Priya Patel</t>
        </is>
      </c>
      <c r="F18" t="inlineStr">
        <is>
          <t xml:space="preserve"> Neha  Joshi </t>
        </is>
      </c>
      <c r="G18" t="inlineStr">
        <is>
          <t>Audio</t>
        </is>
      </c>
      <c r="H18" t="inlineStr">
        <is>
          <t>P108</t>
        </is>
      </c>
      <c r="I18" t="inlineStr">
        <is>
          <t>Buds Pro</t>
        </is>
      </c>
      <c r="J18" t="n">
        <v>12</v>
      </c>
      <c r="K18" s="3" t="n">
        <v>129</v>
      </c>
      <c r="L18" s="4" t="n">
        <v>0.15</v>
      </c>
      <c r="M18" s="3" t="n">
        <v>1315.8</v>
      </c>
      <c r="N18" s="3" t="n">
        <v>1500</v>
      </c>
      <c r="O18" s="2" t="n">
        <v>45772</v>
      </c>
      <c r="P18" s="2" t="n">
        <v>45774</v>
      </c>
      <c r="Q18" t="inlineStr">
        <is>
          <t>Bank Transfer</t>
        </is>
      </c>
      <c r="R18" t="inlineStr">
        <is>
          <t>Returning</t>
        </is>
      </c>
      <c r="S18" t="n">
        <v>2</v>
      </c>
      <c r="T18" t="inlineStr">
        <is>
          <t xml:space="preserve"> normal </t>
        </is>
      </c>
    </row>
    <row r="19">
      <c r="A19" t="inlineStr">
        <is>
          <t>O0018</t>
        </is>
      </c>
      <c r="B19" s="2" t="n">
        <v>45839</v>
      </c>
      <c r="C19" t="inlineStr">
        <is>
          <t>East</t>
        </is>
      </c>
      <c r="D19" t="inlineStr">
        <is>
          <t>New Jersey</t>
        </is>
      </c>
      <c r="E19" t="inlineStr">
        <is>
          <t>Sara Khan</t>
        </is>
      </c>
      <c r="F19" t="inlineStr">
        <is>
          <t>Sara Khan</t>
        </is>
      </c>
      <c r="G19" t="inlineStr">
        <is>
          <t>Audio</t>
        </is>
      </c>
      <c r="H19" t="inlineStr">
        <is>
          <t>P107</t>
        </is>
      </c>
      <c r="I19" t="inlineStr">
        <is>
          <t>AirPods</t>
        </is>
      </c>
      <c r="J19" t="n">
        <v>8</v>
      </c>
      <c r="K19" s="3" t="n">
        <v>179</v>
      </c>
      <c r="L19" s="4" t="n">
        <v>0</v>
      </c>
      <c r="M19" s="3" t="n">
        <v>1432</v>
      </c>
      <c r="N19" s="3" t="n">
        <v>2500</v>
      </c>
      <c r="O19" s="2" t="n">
        <v>45843</v>
      </c>
      <c r="P19" s="2" t="n">
        <v>45847</v>
      </c>
      <c r="Q19" t="inlineStr">
        <is>
          <t>Credit Card</t>
        </is>
      </c>
      <c r="R19" t="inlineStr">
        <is>
          <t>New</t>
        </is>
      </c>
      <c r="S19" t="n">
        <v>4</v>
      </c>
      <c r="T19" t="inlineStr">
        <is>
          <t>refund pending</t>
        </is>
      </c>
    </row>
    <row r="20">
      <c r="A20" t="inlineStr">
        <is>
          <t>O0019</t>
        </is>
      </c>
      <c r="B20" s="2" t="n">
        <v>45756</v>
      </c>
      <c r="C20" t="inlineStr">
        <is>
          <t>North</t>
        </is>
      </c>
      <c r="D20" t="inlineStr">
        <is>
          <t>Illinois</t>
        </is>
      </c>
      <c r="E20" t="inlineStr">
        <is>
          <t>Rahul Mehta</t>
        </is>
      </c>
      <c r="F20" t="inlineStr">
        <is>
          <t>rAhUl shAh</t>
        </is>
      </c>
      <c r="G20" t="inlineStr">
        <is>
          <t>Laptop</t>
        </is>
      </c>
      <c r="H20" t="inlineStr">
        <is>
          <t>P104</t>
        </is>
      </c>
      <c r="I20" t="inlineStr">
        <is>
          <t>Inspiron 15</t>
        </is>
      </c>
      <c r="J20" t="n">
        <v>8</v>
      </c>
      <c r="K20" s="3" t="n">
        <v>749</v>
      </c>
      <c r="L20" s="4" t="n">
        <v>0.02</v>
      </c>
      <c r="M20" s="3" t="n">
        <v>5872.16</v>
      </c>
      <c r="N20" s="3" t="n">
        <v>1000</v>
      </c>
      <c r="O20" s="2" t="n">
        <v>45758</v>
      </c>
      <c r="P20" s="2" t="n">
        <v>45763</v>
      </c>
      <c r="Q20" t="inlineStr">
        <is>
          <t>Bank Transfer</t>
        </is>
      </c>
      <c r="R20" t="inlineStr">
        <is>
          <t>New</t>
        </is>
      </c>
      <c r="S20" t="n">
        <v>1</v>
      </c>
      <c r="T20" t="inlineStr">
        <is>
          <t xml:space="preserve">  follow-up  </t>
        </is>
      </c>
    </row>
    <row r="21">
      <c r="A21" t="inlineStr">
        <is>
          <t>O0020</t>
        </is>
      </c>
      <c r="B21" s="2" t="n">
        <v>45934</v>
      </c>
      <c r="C21" t="inlineStr">
        <is>
          <t>East</t>
        </is>
      </c>
      <c r="D21" t="inlineStr">
        <is>
          <t>New York</t>
        </is>
      </c>
      <c r="E21" t="inlineStr">
        <is>
          <t>Neha Joshi</t>
        </is>
      </c>
      <c r="F21" t="inlineStr">
        <is>
          <t xml:space="preserve"> Neha  Joshi </t>
        </is>
      </c>
      <c r="G21" t="inlineStr">
        <is>
          <t>Accessory</t>
        </is>
      </c>
      <c r="H21" t="inlineStr">
        <is>
          <t>P111</t>
        </is>
      </c>
      <c r="I21" t="inlineStr">
        <is>
          <t>Mouse</t>
        </is>
      </c>
      <c r="J21" t="n">
        <v>15</v>
      </c>
      <c r="K21" s="3" t="n">
        <v>39</v>
      </c>
      <c r="L21" s="4" t="n">
        <v>0.02</v>
      </c>
      <c r="M21" s="3" t="n">
        <v>573.3</v>
      </c>
      <c r="N21" s="3" t="n">
        <v>500</v>
      </c>
      <c r="O21" s="2" t="n">
        <v>45935</v>
      </c>
      <c r="P21" s="2" t="n">
        <v>45936</v>
      </c>
      <c r="Q21" t="inlineStr">
        <is>
          <t>Bank Transfer</t>
        </is>
      </c>
      <c r="R21" t="inlineStr">
        <is>
          <t>New</t>
        </is>
      </c>
      <c r="S21" t="n">
        <v>4</v>
      </c>
      <c r="T21" t="inlineStr">
        <is>
          <t xml:space="preserve"> normal </t>
        </is>
      </c>
    </row>
    <row r="22">
      <c r="A22" t="inlineStr">
        <is>
          <t>O0021</t>
        </is>
      </c>
      <c r="B22" s="2" t="n">
        <v>45857</v>
      </c>
      <c r="C22" t="inlineStr">
        <is>
          <t>West</t>
        </is>
      </c>
      <c r="D22" t="inlineStr">
        <is>
          <t>Texas</t>
        </is>
      </c>
      <c r="E22" t="inlineStr">
        <is>
          <t>Sara Khan</t>
        </is>
      </c>
      <c r="F22" t="inlineStr">
        <is>
          <t xml:space="preserve"> Neha  Joshi </t>
        </is>
      </c>
      <c r="G22" t="inlineStr">
        <is>
          <t>Mobile</t>
        </is>
      </c>
      <c r="H22" t="inlineStr">
        <is>
          <t>P101</t>
        </is>
      </c>
      <c r="I22" t="inlineStr">
        <is>
          <t>iPhone 15</t>
        </is>
      </c>
      <c r="J22" t="n">
        <v>13</v>
      </c>
      <c r="K22" s="3" t="n">
        <v>699</v>
      </c>
      <c r="L22" s="4" t="n">
        <v>0.1</v>
      </c>
      <c r="M22" s="3" t="n">
        <v>8178.3</v>
      </c>
      <c r="N22" s="3" t="n">
        <v>750</v>
      </c>
      <c r="O22" s="2" t="n">
        <v>45860</v>
      </c>
      <c r="P22" s="2" t="n">
        <v>45867</v>
      </c>
      <c r="Q22" t="inlineStr">
        <is>
          <t>Bank Transfer</t>
        </is>
      </c>
      <c r="R22" t="inlineStr">
        <is>
          <t>New</t>
        </is>
      </c>
      <c r="S22" t="n">
        <v>2</v>
      </c>
      <c r="T22" t="inlineStr">
        <is>
          <t>ok</t>
        </is>
      </c>
    </row>
    <row r="23">
      <c r="A23" t="inlineStr">
        <is>
          <t>O0022</t>
        </is>
      </c>
      <c r="B23" s="2" t="n">
        <v>45935</v>
      </c>
      <c r="C23" t="inlineStr">
        <is>
          <t>West</t>
        </is>
      </c>
      <c r="D23" t="inlineStr">
        <is>
          <t>California</t>
        </is>
      </c>
      <c r="E23" t="inlineStr">
        <is>
          <t>Neha Joshi</t>
        </is>
      </c>
      <c r="F23" t="inlineStr">
        <is>
          <t>John Smith</t>
        </is>
      </c>
      <c r="G23" t="inlineStr">
        <is>
          <t>Accessory</t>
        </is>
      </c>
      <c r="H23" t="inlineStr">
        <is>
          <t>P110</t>
        </is>
      </c>
      <c r="I23" t="inlineStr">
        <is>
          <t>Keyboard</t>
        </is>
      </c>
      <c r="J23" t="n">
        <v>6</v>
      </c>
      <c r="K23" s="3" t="n">
        <v>59</v>
      </c>
      <c r="L23" s="4" t="n">
        <v>0</v>
      </c>
      <c r="M23" s="3" t="n">
        <v>354</v>
      </c>
      <c r="N23" s="3" t="n">
        <v>300</v>
      </c>
      <c r="O23" s="2" t="n">
        <v>45936</v>
      </c>
      <c r="P23" s="2" t="n">
        <v>45942</v>
      </c>
      <c r="Q23" t="inlineStr">
        <is>
          <t>UPI</t>
        </is>
      </c>
      <c r="R23" t="inlineStr">
        <is>
          <t>New</t>
        </is>
      </c>
      <c r="S23" t="n">
        <v>5</v>
      </c>
      <c r="T23" t="inlineStr">
        <is>
          <t xml:space="preserve"> normal </t>
        </is>
      </c>
    </row>
    <row r="24">
      <c r="A24" t="inlineStr">
        <is>
          <t>O0023</t>
        </is>
      </c>
      <c r="B24" s="2" t="n">
        <v>45692</v>
      </c>
      <c r="C24" t="inlineStr">
        <is>
          <t>West</t>
        </is>
      </c>
      <c r="D24" t="inlineStr">
        <is>
          <t>California</t>
        </is>
      </c>
      <c r="E24" t="inlineStr">
        <is>
          <t>John Smith</t>
        </is>
      </c>
      <c r="F24" t="inlineStr">
        <is>
          <t>John Smith</t>
        </is>
      </c>
      <c r="G24" t="inlineStr">
        <is>
          <t>Accessory</t>
        </is>
      </c>
      <c r="H24" t="inlineStr">
        <is>
          <t>P110</t>
        </is>
      </c>
      <c r="I24" t="inlineStr">
        <is>
          <t>Keyboard</t>
        </is>
      </c>
      <c r="J24" t="n">
        <v>2</v>
      </c>
      <c r="K24" s="3" t="n">
        <v>59</v>
      </c>
      <c r="L24" s="4" t="n">
        <v>0.15</v>
      </c>
      <c r="M24" s="3" t="n">
        <v>100.3</v>
      </c>
      <c r="N24" s="3" t="n">
        <v>500</v>
      </c>
      <c r="O24" s="2" t="n">
        <v>45694</v>
      </c>
      <c r="P24" s="2" t="n">
        <v>45698</v>
      </c>
      <c r="Q24" t="inlineStr">
        <is>
          <t>Credit Card</t>
        </is>
      </c>
      <c r="R24" t="inlineStr">
        <is>
          <t>Corporate</t>
        </is>
      </c>
      <c r="S24" t="n">
        <v>1</v>
      </c>
      <c r="T24" t="inlineStr">
        <is>
          <t xml:space="preserve">  follow-up  </t>
        </is>
      </c>
    </row>
    <row r="25">
      <c r="A25" t="inlineStr">
        <is>
          <t>O0024</t>
        </is>
      </c>
      <c r="B25" s="2" t="n">
        <v>46000</v>
      </c>
      <c r="C25" t="inlineStr">
        <is>
          <t>North</t>
        </is>
      </c>
      <c r="D25" t="inlineStr">
        <is>
          <t>Michigan</t>
        </is>
      </c>
      <c r="E25" t="inlineStr">
        <is>
          <t>Sara Khan</t>
        </is>
      </c>
      <c r="F25" t="inlineStr">
        <is>
          <t>Sara Khan</t>
        </is>
      </c>
      <c r="G25" t="inlineStr">
        <is>
          <t>Laptop</t>
        </is>
      </c>
      <c r="H25" t="inlineStr">
        <is>
          <t>P104</t>
        </is>
      </c>
      <c r="I25" t="inlineStr">
        <is>
          <t>Inspiron 15</t>
        </is>
      </c>
      <c r="J25" t="n">
        <v>5</v>
      </c>
      <c r="K25" s="3" t="n">
        <v>749</v>
      </c>
      <c r="L25" s="4" t="n">
        <v>0.1</v>
      </c>
      <c r="M25" s="3" t="n">
        <v>3370.5</v>
      </c>
      <c r="N25" s="3" t="n">
        <v>500</v>
      </c>
      <c r="O25" s="2" t="n">
        <v>46003</v>
      </c>
      <c r="P25" s="2" t="n">
        <v>46005</v>
      </c>
      <c r="Q25" t="inlineStr">
        <is>
          <t>Cash</t>
        </is>
      </c>
      <c r="R25" t="inlineStr">
        <is>
          <t>Returning</t>
        </is>
      </c>
      <c r="S25" t="n">
        <v>3</v>
      </c>
      <c r="T25" t="inlineStr"/>
    </row>
    <row r="26">
      <c r="A26" t="inlineStr">
        <is>
          <t>O0025</t>
        </is>
      </c>
      <c r="B26" s="2" t="n">
        <v>45976</v>
      </c>
      <c r="C26" t="inlineStr">
        <is>
          <t>East</t>
        </is>
      </c>
      <c r="D26" t="inlineStr">
        <is>
          <t>New York</t>
        </is>
      </c>
      <c r="E26" t="inlineStr">
        <is>
          <t>Rahul Mehta</t>
        </is>
      </c>
      <c r="F26" t="inlineStr">
        <is>
          <t>John Smith</t>
        </is>
      </c>
      <c r="G26" t="inlineStr">
        <is>
          <t>Audio</t>
        </is>
      </c>
      <c r="H26" t="inlineStr">
        <is>
          <t>P108</t>
        </is>
      </c>
      <c r="I26" t="inlineStr">
        <is>
          <t>Buds Pro</t>
        </is>
      </c>
      <c r="J26" t="n">
        <v>2</v>
      </c>
      <c r="K26" s="3" t="n">
        <v>129</v>
      </c>
      <c r="L26" s="4" t="n">
        <v>0.15</v>
      </c>
      <c r="M26" s="3" t="n">
        <v>219.3</v>
      </c>
      <c r="N26" s="3" t="n">
        <v>500</v>
      </c>
      <c r="O26" s="2" t="n">
        <v>45981</v>
      </c>
      <c r="P26" s="2" t="n">
        <v>45982</v>
      </c>
      <c r="Q26" t="inlineStr">
        <is>
          <t>UPI</t>
        </is>
      </c>
      <c r="R26" t="inlineStr">
        <is>
          <t>Returning</t>
        </is>
      </c>
      <c r="S26" t="n">
        <v>1</v>
      </c>
      <c r="T26" t="inlineStr">
        <is>
          <t>urgent</t>
        </is>
      </c>
    </row>
    <row r="27">
      <c r="A27" t="inlineStr">
        <is>
          <t>O0026</t>
        </is>
      </c>
      <c r="B27" s="2" t="n">
        <v>45882</v>
      </c>
      <c r="C27" t="inlineStr">
        <is>
          <t>North</t>
        </is>
      </c>
      <c r="D27" t="inlineStr">
        <is>
          <t>Michigan</t>
        </is>
      </c>
      <c r="E27" t="inlineStr">
        <is>
          <t>John Smith</t>
        </is>
      </c>
      <c r="F27" t="inlineStr">
        <is>
          <t>Sara Khan</t>
        </is>
      </c>
      <c r="G27" t="inlineStr">
        <is>
          <t>Laptop</t>
        </is>
      </c>
      <c r="H27" t="inlineStr">
        <is>
          <t>P103</t>
        </is>
      </c>
      <c r="I27" t="inlineStr">
        <is>
          <t>ThinkPad E14</t>
        </is>
      </c>
      <c r="J27" t="n">
        <v>5</v>
      </c>
      <c r="K27" s="3" t="n">
        <v>899</v>
      </c>
      <c r="L27" s="4" t="n">
        <v>0.15</v>
      </c>
      <c r="M27" s="3" t="n">
        <v>3820.75</v>
      </c>
      <c r="N27" s="3" t="n">
        <v>5000</v>
      </c>
      <c r="O27" s="2" t="n">
        <v>45887</v>
      </c>
      <c r="P27" s="2" t="n">
        <v>45893</v>
      </c>
      <c r="Q27" t="inlineStr">
        <is>
          <t>Credit Card</t>
        </is>
      </c>
      <c r="R27" t="inlineStr">
        <is>
          <t>Corporate</t>
        </is>
      </c>
      <c r="S27" t="n">
        <v>5</v>
      </c>
      <c r="T27" t="inlineStr">
        <is>
          <t>ok</t>
        </is>
      </c>
    </row>
    <row r="28">
      <c r="A28" t="inlineStr">
        <is>
          <t>O0027</t>
        </is>
      </c>
      <c r="B28" s="2" t="n">
        <v>45717</v>
      </c>
      <c r="C28" t="inlineStr">
        <is>
          <t>East</t>
        </is>
      </c>
      <c r="D28" t="inlineStr">
        <is>
          <t>New York</t>
        </is>
      </c>
      <c r="E28" t="inlineStr">
        <is>
          <t>John Smith</t>
        </is>
      </c>
      <c r="F28" t="inlineStr">
        <is>
          <t>PRIYA PATEL</t>
        </is>
      </c>
      <c r="G28" t="inlineStr">
        <is>
          <t>Tablet</t>
        </is>
      </c>
      <c r="H28" t="inlineStr">
        <is>
          <t>P105</t>
        </is>
      </c>
      <c r="I28" t="inlineStr">
        <is>
          <t>iPad Air</t>
        </is>
      </c>
      <c r="J28" t="n">
        <v>9</v>
      </c>
      <c r="K28" s="3" t="n">
        <v>599</v>
      </c>
      <c r="L28" s="4" t="n">
        <v>0.02</v>
      </c>
      <c r="M28" s="3" t="n">
        <v>5283.18</v>
      </c>
      <c r="N28" s="3" t="n">
        <v>750</v>
      </c>
      <c r="O28" s="2" t="n">
        <v>45718</v>
      </c>
      <c r="P28" s="2" t="n">
        <v>45724</v>
      </c>
      <c r="Q28" t="inlineStr">
        <is>
          <t>UPI</t>
        </is>
      </c>
      <c r="R28" t="inlineStr">
        <is>
          <t>Corporate</t>
        </is>
      </c>
      <c r="S28" t="n">
        <v>3</v>
      </c>
      <c r="T28" t="inlineStr">
        <is>
          <t>urgent</t>
        </is>
      </c>
    </row>
    <row r="29">
      <c r="A29" t="inlineStr">
        <is>
          <t>O0028</t>
        </is>
      </c>
      <c r="B29" s="2" t="n">
        <v>45786</v>
      </c>
      <c r="C29" t="inlineStr">
        <is>
          <t>North</t>
        </is>
      </c>
      <c r="D29" t="inlineStr">
        <is>
          <t>Minnesota</t>
        </is>
      </c>
      <c r="E29" t="inlineStr">
        <is>
          <t>Amit Shah</t>
        </is>
      </c>
      <c r="F29" t="inlineStr">
        <is>
          <t>PRIYA PATEL</t>
        </is>
      </c>
      <c r="G29" t="inlineStr">
        <is>
          <t>Audio</t>
        </is>
      </c>
      <c r="H29" t="inlineStr">
        <is>
          <t>P108</t>
        </is>
      </c>
      <c r="I29" t="inlineStr">
        <is>
          <t>Buds Pro</t>
        </is>
      </c>
      <c r="J29" t="n">
        <v>11</v>
      </c>
      <c r="K29" s="3" t="n">
        <v>129</v>
      </c>
      <c r="L29" s="4" t="n">
        <v>0.1</v>
      </c>
      <c r="M29" s="3" t="n">
        <v>1277.1</v>
      </c>
      <c r="N29" s="3" t="n">
        <v>5000</v>
      </c>
      <c r="O29" s="2" t="n">
        <v>45787</v>
      </c>
      <c r="P29" s="2" t="n">
        <v>45788</v>
      </c>
      <c r="Q29" t="inlineStr">
        <is>
          <t>Credit Card</t>
        </is>
      </c>
      <c r="R29" t="inlineStr">
        <is>
          <t>Returning</t>
        </is>
      </c>
      <c r="S29" t="n">
        <v>2</v>
      </c>
      <c r="T29" t="inlineStr">
        <is>
          <t>refund pending</t>
        </is>
      </c>
    </row>
    <row r="30">
      <c r="A30" t="inlineStr">
        <is>
          <t>O0029</t>
        </is>
      </c>
      <c r="B30" s="2" t="n">
        <v>45884</v>
      </c>
      <c r="C30" t="inlineStr">
        <is>
          <t>North</t>
        </is>
      </c>
      <c r="D30" t="inlineStr">
        <is>
          <t>Illinois</t>
        </is>
      </c>
      <c r="E30" t="inlineStr">
        <is>
          <t>Amit Shah</t>
        </is>
      </c>
      <c r="F30" t="inlineStr">
        <is>
          <t xml:space="preserve"> Rahul Shah </t>
        </is>
      </c>
      <c r="G30" t="inlineStr">
        <is>
          <t>Accessory</t>
        </is>
      </c>
      <c r="H30" t="inlineStr">
        <is>
          <t>P112</t>
        </is>
      </c>
      <c r="I30" t="inlineStr">
        <is>
          <t>PowerBank</t>
        </is>
      </c>
      <c r="J30" t="n">
        <v>7</v>
      </c>
      <c r="K30" s="3" t="n">
        <v>49</v>
      </c>
      <c r="L30" s="4" t="n">
        <v>0.15</v>
      </c>
      <c r="M30" s="3" t="n">
        <v>291.55</v>
      </c>
      <c r="N30" s="3" t="n">
        <v>300</v>
      </c>
      <c r="O30" s="2" t="n">
        <v>45889</v>
      </c>
      <c r="P30" s="2" t="n">
        <v>45895</v>
      </c>
      <c r="Q30" t="inlineStr">
        <is>
          <t>UPI</t>
        </is>
      </c>
      <c r="R30" t="inlineStr">
        <is>
          <t>Corporate</t>
        </is>
      </c>
      <c r="S30" t="n">
        <v>1</v>
      </c>
      <c r="T30" t="inlineStr"/>
    </row>
    <row r="31">
      <c r="A31" t="inlineStr">
        <is>
          <t>O0030</t>
        </is>
      </c>
      <c r="B31" s="2" t="n">
        <v>45733</v>
      </c>
      <c r="C31" t="inlineStr">
        <is>
          <t>North</t>
        </is>
      </c>
      <c r="D31" t="inlineStr">
        <is>
          <t>Minnesota</t>
        </is>
      </c>
      <c r="E31" t="inlineStr">
        <is>
          <t>Rahul Mehta</t>
        </is>
      </c>
      <c r="F31" t="inlineStr">
        <is>
          <t xml:space="preserve"> Rahul Shah </t>
        </is>
      </c>
      <c r="G31" t="inlineStr">
        <is>
          <t>Monitor</t>
        </is>
      </c>
      <c r="H31" t="inlineStr">
        <is>
          <t>P109</t>
        </is>
      </c>
      <c r="I31" t="inlineStr">
        <is>
          <t>Monitor 24</t>
        </is>
      </c>
      <c r="J31" t="n">
        <v>1</v>
      </c>
      <c r="K31" s="3" t="n">
        <v>229</v>
      </c>
      <c r="L31" s="4" t="n">
        <v>0.05</v>
      </c>
      <c r="M31" s="3" t="n">
        <v>217.55</v>
      </c>
      <c r="N31" s="3" t="n">
        <v>750</v>
      </c>
      <c r="O31" s="2" t="n">
        <v>45737</v>
      </c>
      <c r="P31" s="2" t="n">
        <v>45739</v>
      </c>
      <c r="Q31" t="inlineStr">
        <is>
          <t>UPI</t>
        </is>
      </c>
      <c r="R31" t="inlineStr">
        <is>
          <t>Corporate</t>
        </is>
      </c>
      <c r="S31" t="n">
        <v>2</v>
      </c>
      <c r="T31" t="inlineStr">
        <is>
          <t>refund pending</t>
        </is>
      </c>
    </row>
    <row r="32">
      <c r="A32" t="inlineStr">
        <is>
          <t>O0031</t>
        </is>
      </c>
      <c r="B32" s="2" t="n">
        <v>45866</v>
      </c>
      <c r="C32" t="inlineStr">
        <is>
          <t>East</t>
        </is>
      </c>
      <c r="D32" t="inlineStr">
        <is>
          <t>Massachusetts</t>
        </is>
      </c>
      <c r="E32" t="inlineStr">
        <is>
          <t>Priya Patel</t>
        </is>
      </c>
      <c r="F32" t="inlineStr">
        <is>
          <t>rAhUl shAh</t>
        </is>
      </c>
      <c r="G32" t="inlineStr">
        <is>
          <t>Monitor</t>
        </is>
      </c>
      <c r="H32" t="inlineStr">
        <is>
          <t>P109</t>
        </is>
      </c>
      <c r="I32" t="inlineStr">
        <is>
          <t>Monitor 24</t>
        </is>
      </c>
      <c r="J32" t="n">
        <v>3</v>
      </c>
      <c r="K32" s="3" t="n">
        <v>229</v>
      </c>
      <c r="L32" s="4" t="n">
        <v>0.02</v>
      </c>
      <c r="M32" s="3" t="n">
        <v>673.26</v>
      </c>
      <c r="N32" s="3" t="n">
        <v>5000</v>
      </c>
      <c r="O32" s="2" t="n">
        <v>45871</v>
      </c>
      <c r="P32" s="2" t="n">
        <v>45877</v>
      </c>
      <c r="Q32" t="inlineStr">
        <is>
          <t>Bank Transfer</t>
        </is>
      </c>
      <c r="R32" t="inlineStr">
        <is>
          <t>New</t>
        </is>
      </c>
      <c r="S32" t="n">
        <v>2</v>
      </c>
      <c r="T32" t="inlineStr">
        <is>
          <t>refund pending</t>
        </is>
      </c>
    </row>
    <row r="33">
      <c r="A33" t="inlineStr">
        <is>
          <t>O0032</t>
        </is>
      </c>
      <c r="B33" s="2" t="n">
        <v>45785</v>
      </c>
      <c r="C33" t="inlineStr">
        <is>
          <t>North</t>
        </is>
      </c>
      <c r="D33" t="inlineStr">
        <is>
          <t>Michigan</t>
        </is>
      </c>
      <c r="E33" t="inlineStr">
        <is>
          <t>Neha Joshi</t>
        </is>
      </c>
      <c r="F33" t="inlineStr">
        <is>
          <t xml:space="preserve"> Rahul Shah </t>
        </is>
      </c>
      <c r="G33" t="inlineStr">
        <is>
          <t>Accessory</t>
        </is>
      </c>
      <c r="H33" t="inlineStr">
        <is>
          <t>P111</t>
        </is>
      </c>
      <c r="I33" t="inlineStr">
        <is>
          <t>Mouse</t>
        </is>
      </c>
      <c r="J33" t="n">
        <v>13</v>
      </c>
      <c r="K33" s="3" t="n">
        <v>39</v>
      </c>
      <c r="L33" s="4" t="n">
        <v>0</v>
      </c>
      <c r="M33" s="3" t="n">
        <v>507</v>
      </c>
      <c r="N33" s="3" t="n">
        <v>1000</v>
      </c>
      <c r="O33" s="2" t="n">
        <v>45788</v>
      </c>
      <c r="P33" s="2" t="n">
        <v>45790</v>
      </c>
      <c r="Q33" t="inlineStr">
        <is>
          <t>UPI</t>
        </is>
      </c>
      <c r="R33" t="inlineStr">
        <is>
          <t>New</t>
        </is>
      </c>
      <c r="S33" t="n">
        <v>4</v>
      </c>
      <c r="T33" t="inlineStr">
        <is>
          <t>ok</t>
        </is>
      </c>
    </row>
    <row r="34">
      <c r="A34" t="inlineStr">
        <is>
          <t>O0033</t>
        </is>
      </c>
      <c r="B34" s="2" t="n">
        <v>45670</v>
      </c>
      <c r="C34" t="inlineStr">
        <is>
          <t>North</t>
        </is>
      </c>
      <c r="D34" t="inlineStr">
        <is>
          <t>Illinois</t>
        </is>
      </c>
      <c r="E34" t="inlineStr">
        <is>
          <t>Rahul Mehta</t>
        </is>
      </c>
      <c r="F34" t="inlineStr">
        <is>
          <t xml:space="preserve"> Rahul Shah </t>
        </is>
      </c>
      <c r="G34" t="inlineStr">
        <is>
          <t>Laptop</t>
        </is>
      </c>
      <c r="H34" t="inlineStr">
        <is>
          <t>P104</t>
        </is>
      </c>
      <c r="I34" t="inlineStr">
        <is>
          <t>Inspiron 15</t>
        </is>
      </c>
      <c r="J34" t="n">
        <v>6</v>
      </c>
      <c r="K34" s="3" t="n">
        <v>749</v>
      </c>
      <c r="L34" s="4" t="n">
        <v>0.05</v>
      </c>
      <c r="M34" s="3" t="n">
        <v>4269.3</v>
      </c>
      <c r="N34" s="3" t="n">
        <v>5000</v>
      </c>
      <c r="O34" s="2" t="n">
        <v>45672</v>
      </c>
      <c r="P34" s="2" t="n">
        <v>45676</v>
      </c>
      <c r="Q34" t="inlineStr">
        <is>
          <t>Cash</t>
        </is>
      </c>
      <c r="R34" t="inlineStr">
        <is>
          <t>Corporate</t>
        </is>
      </c>
      <c r="S34" t="n">
        <v>5</v>
      </c>
      <c r="T34" t="inlineStr">
        <is>
          <t xml:space="preserve">  follow-up  </t>
        </is>
      </c>
    </row>
    <row r="35">
      <c r="A35" t="inlineStr">
        <is>
          <t>O0034</t>
        </is>
      </c>
      <c r="B35" s="2" t="n">
        <v>45791</v>
      </c>
      <c r="C35" t="inlineStr">
        <is>
          <t>North</t>
        </is>
      </c>
      <c r="D35" t="inlineStr">
        <is>
          <t>Illinois</t>
        </is>
      </c>
      <c r="E35" t="inlineStr">
        <is>
          <t>Neha Joshi</t>
        </is>
      </c>
      <c r="F35" t="inlineStr">
        <is>
          <t>John Smith</t>
        </is>
      </c>
      <c r="G35" t="inlineStr">
        <is>
          <t>Mobile</t>
        </is>
      </c>
      <c r="H35" t="inlineStr">
        <is>
          <t>P102</t>
        </is>
      </c>
      <c r="I35" t="inlineStr">
        <is>
          <t>Galaxy S24</t>
        </is>
      </c>
      <c r="J35" t="n">
        <v>5</v>
      </c>
      <c r="K35" s="3" t="n">
        <v>799</v>
      </c>
      <c r="L35" s="4" t="n">
        <v>0</v>
      </c>
      <c r="M35" s="3" t="n">
        <v>3995</v>
      </c>
      <c r="N35" s="3" t="n">
        <v>300</v>
      </c>
      <c r="O35" s="2" t="n">
        <v>45793</v>
      </c>
      <c r="P35" s="2" t="n">
        <v>45798</v>
      </c>
      <c r="Q35" t="inlineStr">
        <is>
          <t>Cash</t>
        </is>
      </c>
      <c r="R35" t="inlineStr">
        <is>
          <t>Corporate</t>
        </is>
      </c>
      <c r="S35" t="n">
        <v>3</v>
      </c>
      <c r="T35" t="inlineStr">
        <is>
          <t xml:space="preserve">  follow-up  </t>
        </is>
      </c>
    </row>
    <row r="36">
      <c r="A36" t="inlineStr">
        <is>
          <t>O0035</t>
        </is>
      </c>
      <c r="B36" s="2" t="n">
        <v>45755</v>
      </c>
      <c r="C36" t="inlineStr">
        <is>
          <t>East</t>
        </is>
      </c>
      <c r="D36" t="inlineStr">
        <is>
          <t>Massachusetts</t>
        </is>
      </c>
      <c r="E36" t="inlineStr">
        <is>
          <t>John Smith</t>
        </is>
      </c>
      <c r="F36" t="inlineStr">
        <is>
          <t>John Smith</t>
        </is>
      </c>
      <c r="G36" t="inlineStr">
        <is>
          <t>Accessory</t>
        </is>
      </c>
      <c r="H36" t="inlineStr">
        <is>
          <t>P110</t>
        </is>
      </c>
      <c r="I36" t="inlineStr">
        <is>
          <t>Keyboard</t>
        </is>
      </c>
      <c r="J36" t="n">
        <v>12</v>
      </c>
      <c r="K36" s="3" t="n">
        <v>59</v>
      </c>
      <c r="L36" s="4" t="n">
        <v>0.1</v>
      </c>
      <c r="M36" s="3" t="n">
        <v>637.2</v>
      </c>
      <c r="N36" s="3" t="n">
        <v>300</v>
      </c>
      <c r="O36" s="2" t="n">
        <v>45758</v>
      </c>
      <c r="P36" s="2" t="n">
        <v>45759</v>
      </c>
      <c r="Q36" t="inlineStr">
        <is>
          <t>UPI</t>
        </is>
      </c>
      <c r="R36" t="inlineStr">
        <is>
          <t>Returning</t>
        </is>
      </c>
      <c r="S36" t="n">
        <v>4</v>
      </c>
      <c r="T36" t="inlineStr">
        <is>
          <t xml:space="preserve"> normal </t>
        </is>
      </c>
    </row>
    <row r="37">
      <c r="A37" t="inlineStr">
        <is>
          <t>O0036</t>
        </is>
      </c>
      <c r="B37" s="2" t="n">
        <v>45997</v>
      </c>
      <c r="C37" t="inlineStr">
        <is>
          <t>North</t>
        </is>
      </c>
      <c r="D37" t="inlineStr">
        <is>
          <t>Minnesota</t>
        </is>
      </c>
      <c r="E37" t="inlineStr">
        <is>
          <t>Sara Khan</t>
        </is>
      </c>
      <c r="F37" t="inlineStr">
        <is>
          <t>PRIYA PATEL</t>
        </is>
      </c>
      <c r="G37" t="inlineStr">
        <is>
          <t>Tablet</t>
        </is>
      </c>
      <c r="H37" t="inlineStr">
        <is>
          <t>P106</t>
        </is>
      </c>
      <c r="I37" t="inlineStr">
        <is>
          <t>Galaxy Tab</t>
        </is>
      </c>
      <c r="J37" t="n">
        <v>15</v>
      </c>
      <c r="K37" s="3" t="n">
        <v>499</v>
      </c>
      <c r="L37" s="4" t="n">
        <v>0.05</v>
      </c>
      <c r="M37" s="3" t="n">
        <v>7110.75</v>
      </c>
      <c r="N37" s="3" t="n">
        <v>1500</v>
      </c>
      <c r="O37" s="2" t="n">
        <v>45998</v>
      </c>
      <c r="P37" s="2" t="n">
        <v>46004</v>
      </c>
      <c r="Q37" t="inlineStr">
        <is>
          <t>Bank Transfer</t>
        </is>
      </c>
      <c r="R37" t="inlineStr">
        <is>
          <t>Returning</t>
        </is>
      </c>
      <c r="S37" t="n">
        <v>4</v>
      </c>
      <c r="T37" t="inlineStr">
        <is>
          <t>refund pending</t>
        </is>
      </c>
    </row>
    <row r="38">
      <c r="A38" t="inlineStr">
        <is>
          <t>O0037</t>
        </is>
      </c>
      <c r="B38" s="2" t="n">
        <v>45756</v>
      </c>
      <c r="C38" t="inlineStr">
        <is>
          <t>North</t>
        </is>
      </c>
      <c r="D38" t="inlineStr">
        <is>
          <t>Minnesota</t>
        </is>
      </c>
      <c r="E38" t="inlineStr">
        <is>
          <t>Rahul Mehta</t>
        </is>
      </c>
      <c r="F38" t="inlineStr">
        <is>
          <t xml:space="preserve">John Smith </t>
        </is>
      </c>
      <c r="G38" t="inlineStr">
        <is>
          <t>Laptop</t>
        </is>
      </c>
      <c r="H38" t="inlineStr">
        <is>
          <t>P103</t>
        </is>
      </c>
      <c r="I38" t="inlineStr">
        <is>
          <t>ThinkPad E14</t>
        </is>
      </c>
      <c r="J38" t="n">
        <v>7</v>
      </c>
      <c r="K38" s="3" t="n">
        <v>899</v>
      </c>
      <c r="L38" s="4" t="n">
        <v>0.02</v>
      </c>
      <c r="M38" s="3" t="n">
        <v>6167.14</v>
      </c>
      <c r="N38" s="3" t="n">
        <v>1500</v>
      </c>
      <c r="O38" s="2" t="n">
        <v>45760</v>
      </c>
      <c r="P38" s="2" t="n">
        <v>45766</v>
      </c>
      <c r="Q38" t="inlineStr">
        <is>
          <t>Bank Transfer</t>
        </is>
      </c>
      <c r="R38" t="inlineStr">
        <is>
          <t>Corporate</t>
        </is>
      </c>
      <c r="S38" t="n">
        <v>1</v>
      </c>
      <c r="T38" t="inlineStr">
        <is>
          <t>ok</t>
        </is>
      </c>
    </row>
    <row r="39">
      <c r="A39" t="inlineStr">
        <is>
          <t>O0038</t>
        </is>
      </c>
      <c r="B39" s="2" t="n">
        <v>45954</v>
      </c>
      <c r="C39" t="inlineStr">
        <is>
          <t>North</t>
        </is>
      </c>
      <c r="D39" t="inlineStr">
        <is>
          <t>Illinois</t>
        </is>
      </c>
      <c r="E39" t="inlineStr">
        <is>
          <t>Sara Khan</t>
        </is>
      </c>
      <c r="F39" t="inlineStr">
        <is>
          <t xml:space="preserve"> Neha  Joshi </t>
        </is>
      </c>
      <c r="G39" t="inlineStr">
        <is>
          <t>Audio</t>
        </is>
      </c>
      <c r="H39" t="inlineStr">
        <is>
          <t>P107</t>
        </is>
      </c>
      <c r="I39" t="inlineStr">
        <is>
          <t>AirPods</t>
        </is>
      </c>
      <c r="J39" t="n">
        <v>6</v>
      </c>
      <c r="K39" s="3" t="n">
        <v>179</v>
      </c>
      <c r="L39" s="4" t="n">
        <v>0.1</v>
      </c>
      <c r="M39" s="3" t="n">
        <v>966.6</v>
      </c>
      <c r="N39" s="3" t="n">
        <v>1000</v>
      </c>
      <c r="O39" s="2" t="n">
        <v>45959</v>
      </c>
      <c r="P39" s="2" t="n">
        <v>45965</v>
      </c>
      <c r="Q39" t="inlineStr">
        <is>
          <t>UPI</t>
        </is>
      </c>
      <c r="R39" t="inlineStr">
        <is>
          <t>Corporate</t>
        </is>
      </c>
      <c r="S39" t="n">
        <v>4</v>
      </c>
      <c r="T39" t="inlineStr"/>
    </row>
    <row r="40">
      <c r="A40" t="inlineStr">
        <is>
          <t>O0039</t>
        </is>
      </c>
      <c r="B40" s="2" t="n">
        <v>45803</v>
      </c>
      <c r="C40" t="inlineStr">
        <is>
          <t>West</t>
        </is>
      </c>
      <c r="D40" t="inlineStr">
        <is>
          <t>Washington</t>
        </is>
      </c>
      <c r="E40" t="inlineStr">
        <is>
          <t>Priya Patel</t>
        </is>
      </c>
      <c r="F40" t="inlineStr">
        <is>
          <t xml:space="preserve"> Rahul Shah </t>
        </is>
      </c>
      <c r="G40" t="inlineStr">
        <is>
          <t>Mobile</t>
        </is>
      </c>
      <c r="H40" t="inlineStr">
        <is>
          <t>P102</t>
        </is>
      </c>
      <c r="I40" t="inlineStr">
        <is>
          <t>Galaxy S24</t>
        </is>
      </c>
      <c r="J40" t="n">
        <v>11</v>
      </c>
      <c r="K40" s="3" t="n">
        <v>799</v>
      </c>
      <c r="L40" s="4" t="n">
        <v>0.15</v>
      </c>
      <c r="M40" s="3" t="n">
        <v>7470.65</v>
      </c>
      <c r="N40" s="3" t="n">
        <v>750</v>
      </c>
      <c r="O40" s="2" t="n">
        <v>45808</v>
      </c>
      <c r="P40" s="2" t="n">
        <v>45814</v>
      </c>
      <c r="Q40" t="inlineStr">
        <is>
          <t>Cash</t>
        </is>
      </c>
      <c r="R40" t="inlineStr">
        <is>
          <t>New</t>
        </is>
      </c>
      <c r="S40" t="n">
        <v>2</v>
      </c>
      <c r="T40" t="inlineStr">
        <is>
          <t>urgent</t>
        </is>
      </c>
    </row>
    <row r="41">
      <c r="A41" t="inlineStr">
        <is>
          <t>O0040</t>
        </is>
      </c>
      <c r="B41" s="2" t="n">
        <v>45901</v>
      </c>
      <c r="C41" t="inlineStr">
        <is>
          <t>East</t>
        </is>
      </c>
      <c r="D41" t="inlineStr">
        <is>
          <t>New York</t>
        </is>
      </c>
      <c r="E41" t="inlineStr">
        <is>
          <t>Sara Khan</t>
        </is>
      </c>
      <c r="F41" t="inlineStr">
        <is>
          <t xml:space="preserve"> Neha  Joshi </t>
        </is>
      </c>
      <c r="G41" t="inlineStr">
        <is>
          <t>Laptop</t>
        </is>
      </c>
      <c r="H41" t="inlineStr">
        <is>
          <t>P104</t>
        </is>
      </c>
      <c r="I41" t="inlineStr">
        <is>
          <t>Inspiron 15</t>
        </is>
      </c>
      <c r="J41" t="n">
        <v>13</v>
      </c>
      <c r="K41" s="3" t="n">
        <v>749</v>
      </c>
      <c r="L41" s="4" t="n">
        <v>0</v>
      </c>
      <c r="M41" s="3" t="n">
        <v>9737</v>
      </c>
      <c r="N41" s="3" t="n">
        <v>1000</v>
      </c>
      <c r="O41" s="2" t="n">
        <v>45906</v>
      </c>
      <c r="P41" s="2" t="n">
        <v>45913</v>
      </c>
      <c r="Q41" t="inlineStr">
        <is>
          <t>UPI</t>
        </is>
      </c>
      <c r="R41" t="inlineStr">
        <is>
          <t>Corporate</t>
        </is>
      </c>
      <c r="S41" t="n">
        <v>4</v>
      </c>
      <c r="T41" t="inlineStr">
        <is>
          <t xml:space="preserve">  follow-up  </t>
        </is>
      </c>
    </row>
    <row r="42">
      <c r="A42" t="inlineStr">
        <is>
          <t>O0041</t>
        </is>
      </c>
      <c r="B42" s="2" t="n">
        <v>45993</v>
      </c>
      <c r="C42" t="inlineStr">
        <is>
          <t>South</t>
        </is>
      </c>
      <c r="D42" t="inlineStr">
        <is>
          <t>Florida</t>
        </is>
      </c>
      <c r="E42" t="inlineStr">
        <is>
          <t>Priya Patel</t>
        </is>
      </c>
      <c r="F42" t="inlineStr">
        <is>
          <t xml:space="preserve"> Neha  Joshi </t>
        </is>
      </c>
      <c r="G42" t="inlineStr">
        <is>
          <t>Laptop</t>
        </is>
      </c>
      <c r="H42" t="inlineStr">
        <is>
          <t>P103</t>
        </is>
      </c>
      <c r="I42" t="inlineStr">
        <is>
          <t>ThinkPad E14</t>
        </is>
      </c>
      <c r="J42" t="n">
        <v>14</v>
      </c>
      <c r="K42" s="3" t="n">
        <v>899</v>
      </c>
      <c r="L42" s="4" t="n">
        <v>0</v>
      </c>
      <c r="M42" s="3" t="n">
        <v>12586</v>
      </c>
      <c r="N42" s="3" t="n">
        <v>5000</v>
      </c>
      <c r="O42" s="2" t="n">
        <v>45994</v>
      </c>
      <c r="P42" s="2" t="n">
        <v>46001</v>
      </c>
      <c r="Q42" t="inlineStr">
        <is>
          <t>UPI</t>
        </is>
      </c>
      <c r="R42" t="inlineStr">
        <is>
          <t>Corporate</t>
        </is>
      </c>
      <c r="S42" t="n">
        <v>5</v>
      </c>
      <c r="T42" t="inlineStr">
        <is>
          <t xml:space="preserve">  follow-up  </t>
        </is>
      </c>
    </row>
    <row r="43">
      <c r="A43" t="inlineStr">
        <is>
          <t>O0042</t>
        </is>
      </c>
      <c r="B43" s="2" t="n">
        <v>45720</v>
      </c>
      <c r="C43" t="inlineStr">
        <is>
          <t>East</t>
        </is>
      </c>
      <c r="D43" t="inlineStr">
        <is>
          <t>New Jersey</t>
        </is>
      </c>
      <c r="E43" t="inlineStr">
        <is>
          <t>John Smith</t>
        </is>
      </c>
      <c r="F43" t="inlineStr">
        <is>
          <t>John Smith</t>
        </is>
      </c>
      <c r="G43" t="inlineStr">
        <is>
          <t>Laptop</t>
        </is>
      </c>
      <c r="H43" t="inlineStr">
        <is>
          <t>P104</t>
        </is>
      </c>
      <c r="I43" t="inlineStr">
        <is>
          <t>Inspiron 15</t>
        </is>
      </c>
      <c r="J43" t="n">
        <v>13</v>
      </c>
      <c r="K43" s="3" t="n">
        <v>749</v>
      </c>
      <c r="L43" s="4" t="n">
        <v>0.1</v>
      </c>
      <c r="M43" s="3" t="n">
        <v>8763.299999999999</v>
      </c>
      <c r="N43" s="3" t="n">
        <v>2500</v>
      </c>
      <c r="O43" s="2" t="n">
        <v>45724</v>
      </c>
      <c r="P43" s="2" t="n">
        <v>45726</v>
      </c>
      <c r="Q43" t="inlineStr">
        <is>
          <t>Cash</t>
        </is>
      </c>
      <c r="R43" t="inlineStr">
        <is>
          <t>Returning</t>
        </is>
      </c>
      <c r="S43" t="n">
        <v>5</v>
      </c>
      <c r="T43" t="inlineStr"/>
    </row>
    <row r="44">
      <c r="A44" t="inlineStr">
        <is>
          <t>O0043</t>
        </is>
      </c>
      <c r="B44" s="2" t="n">
        <v>45739</v>
      </c>
      <c r="C44" t="inlineStr">
        <is>
          <t>South</t>
        </is>
      </c>
      <c r="D44" t="inlineStr">
        <is>
          <t>Texas</t>
        </is>
      </c>
      <c r="E44" t="inlineStr">
        <is>
          <t>Rahul Mehta</t>
        </is>
      </c>
      <c r="F44" t="inlineStr">
        <is>
          <t>Sara Khan</t>
        </is>
      </c>
      <c r="G44" t="inlineStr">
        <is>
          <t>Audio</t>
        </is>
      </c>
      <c r="H44" t="inlineStr">
        <is>
          <t>P108</t>
        </is>
      </c>
      <c r="I44" t="inlineStr">
        <is>
          <t>Buds Pro</t>
        </is>
      </c>
      <c r="J44" t="n">
        <v>5</v>
      </c>
      <c r="K44" s="3" t="n">
        <v>129</v>
      </c>
      <c r="L44" s="4" t="n">
        <v>0.02</v>
      </c>
      <c r="M44" s="3" t="n">
        <v>632.1</v>
      </c>
      <c r="N44" s="3" t="n">
        <v>5000</v>
      </c>
      <c r="O44" s="2" t="n">
        <v>45743</v>
      </c>
      <c r="P44" s="2" t="n">
        <v>45747</v>
      </c>
      <c r="Q44" t="inlineStr">
        <is>
          <t>Bank Transfer</t>
        </is>
      </c>
      <c r="R44" t="inlineStr">
        <is>
          <t>Corporate</t>
        </is>
      </c>
      <c r="S44" t="n">
        <v>2</v>
      </c>
      <c r="T44" t="inlineStr">
        <is>
          <t>ok</t>
        </is>
      </c>
    </row>
    <row r="45">
      <c r="A45" t="inlineStr">
        <is>
          <t>O0044</t>
        </is>
      </c>
      <c r="B45" s="2" t="n">
        <v>45804</v>
      </c>
      <c r="C45" t="inlineStr">
        <is>
          <t>South</t>
        </is>
      </c>
      <c r="D45" t="inlineStr">
        <is>
          <t>Florida</t>
        </is>
      </c>
      <c r="E45" t="inlineStr">
        <is>
          <t>Priya Patel</t>
        </is>
      </c>
      <c r="F45" t="inlineStr">
        <is>
          <t xml:space="preserve"> Rahul Shah </t>
        </is>
      </c>
      <c r="G45" t="inlineStr">
        <is>
          <t>Accessory</t>
        </is>
      </c>
      <c r="H45" t="inlineStr">
        <is>
          <t>P112</t>
        </is>
      </c>
      <c r="I45" t="inlineStr">
        <is>
          <t>PowerBank</t>
        </is>
      </c>
      <c r="J45" t="n">
        <v>6</v>
      </c>
      <c r="K45" s="3" t="n">
        <v>49</v>
      </c>
      <c r="L45" s="4" t="n">
        <v>0.05</v>
      </c>
      <c r="M45" s="3" t="n">
        <v>279.3</v>
      </c>
      <c r="N45" s="3" t="n">
        <v>1500</v>
      </c>
      <c r="O45" s="2" t="n">
        <v>45806</v>
      </c>
      <c r="P45" s="2" t="n">
        <v>45809</v>
      </c>
      <c r="Q45" t="inlineStr">
        <is>
          <t>UPI</t>
        </is>
      </c>
      <c r="R45" t="inlineStr">
        <is>
          <t>New</t>
        </is>
      </c>
      <c r="S45" t="n">
        <v>4</v>
      </c>
      <c r="T45" t="inlineStr">
        <is>
          <t>refund pending</t>
        </is>
      </c>
    </row>
    <row r="46">
      <c r="A46" t="inlineStr">
        <is>
          <t>O0045</t>
        </is>
      </c>
      <c r="B46" s="2" t="n">
        <v>45690</v>
      </c>
      <c r="C46" t="inlineStr">
        <is>
          <t>West</t>
        </is>
      </c>
      <c r="D46" t="inlineStr">
        <is>
          <t>Washington</t>
        </is>
      </c>
      <c r="E46" t="inlineStr">
        <is>
          <t>Amit Shah</t>
        </is>
      </c>
      <c r="F46" t="inlineStr">
        <is>
          <t xml:space="preserve"> Neha  Joshi </t>
        </is>
      </c>
      <c r="G46" t="inlineStr">
        <is>
          <t>Laptop</t>
        </is>
      </c>
      <c r="H46" t="inlineStr">
        <is>
          <t>P104</t>
        </is>
      </c>
      <c r="I46" t="inlineStr">
        <is>
          <t>Inspiron 15</t>
        </is>
      </c>
      <c r="J46" t="n">
        <v>6</v>
      </c>
      <c r="K46" s="3" t="n">
        <v>749</v>
      </c>
      <c r="L46" s="4" t="n">
        <v>0.15</v>
      </c>
      <c r="M46" s="3" t="n">
        <v>3819.9</v>
      </c>
      <c r="N46" s="3" t="n">
        <v>1000</v>
      </c>
      <c r="O46" s="2" t="n">
        <v>45694</v>
      </c>
      <c r="P46" s="2" t="n">
        <v>45698</v>
      </c>
      <c r="Q46" t="inlineStr">
        <is>
          <t>UPI</t>
        </is>
      </c>
      <c r="R46" t="inlineStr">
        <is>
          <t>Returning</t>
        </is>
      </c>
      <c r="S46" t="n">
        <v>4</v>
      </c>
      <c r="T46" t="inlineStr"/>
    </row>
    <row r="47">
      <c r="A47" t="inlineStr">
        <is>
          <t>O0046</t>
        </is>
      </c>
      <c r="B47" s="2" t="n">
        <v>45902</v>
      </c>
      <c r="C47" t="inlineStr">
        <is>
          <t>East</t>
        </is>
      </c>
      <c r="D47" t="inlineStr">
        <is>
          <t>New Jersey</t>
        </is>
      </c>
      <c r="E47" t="inlineStr">
        <is>
          <t>John Smith</t>
        </is>
      </c>
      <c r="F47" t="inlineStr">
        <is>
          <t xml:space="preserve"> Neha  Joshi </t>
        </is>
      </c>
      <c r="G47" t="inlineStr">
        <is>
          <t>Audio</t>
        </is>
      </c>
      <c r="H47" t="inlineStr">
        <is>
          <t>P107</t>
        </is>
      </c>
      <c r="I47" t="inlineStr">
        <is>
          <t>AirPods</t>
        </is>
      </c>
      <c r="J47" t="n">
        <v>5</v>
      </c>
      <c r="K47" s="3" t="n">
        <v>179</v>
      </c>
      <c r="L47" s="4" t="n">
        <v>0.1</v>
      </c>
      <c r="M47" s="3" t="n">
        <v>805.5</v>
      </c>
      <c r="N47" s="3" t="n">
        <v>5000</v>
      </c>
      <c r="O47" s="2" t="n">
        <v>45903</v>
      </c>
      <c r="P47" s="2" t="n">
        <v>45906</v>
      </c>
      <c r="Q47" t="inlineStr">
        <is>
          <t>UPI</t>
        </is>
      </c>
      <c r="R47" t="inlineStr">
        <is>
          <t>Returning</t>
        </is>
      </c>
      <c r="S47" t="n">
        <v>2</v>
      </c>
      <c r="T47" t="inlineStr">
        <is>
          <t>ok</t>
        </is>
      </c>
    </row>
    <row r="48">
      <c r="A48" t="inlineStr">
        <is>
          <t>O0047</t>
        </is>
      </c>
      <c r="B48" s="2" t="n">
        <v>45857</v>
      </c>
      <c r="C48" t="inlineStr">
        <is>
          <t>South</t>
        </is>
      </c>
      <c r="D48" t="inlineStr">
        <is>
          <t>Georgia</t>
        </is>
      </c>
      <c r="E48" t="inlineStr">
        <is>
          <t>Neha Joshi</t>
        </is>
      </c>
      <c r="F48" t="inlineStr">
        <is>
          <t>rAhUl shAh</t>
        </is>
      </c>
      <c r="G48" t="inlineStr">
        <is>
          <t>Mobile</t>
        </is>
      </c>
      <c r="H48" t="inlineStr">
        <is>
          <t>P101</t>
        </is>
      </c>
      <c r="I48" t="inlineStr">
        <is>
          <t>iPhone 15</t>
        </is>
      </c>
      <c r="J48" t="n">
        <v>11</v>
      </c>
      <c r="K48" s="3" t="n">
        <v>699</v>
      </c>
      <c r="L48" s="4" t="n">
        <v>0.1</v>
      </c>
      <c r="M48" s="3" t="n">
        <v>6920.1</v>
      </c>
      <c r="N48" s="3" t="n">
        <v>2500</v>
      </c>
      <c r="O48" s="2" t="n">
        <v>45860</v>
      </c>
      <c r="P48" s="2" t="n">
        <v>45866</v>
      </c>
      <c r="Q48" t="inlineStr">
        <is>
          <t>UPI</t>
        </is>
      </c>
      <c r="R48" t="inlineStr">
        <is>
          <t>Corporate</t>
        </is>
      </c>
      <c r="S48" t="n">
        <v>5</v>
      </c>
      <c r="T48" t="inlineStr">
        <is>
          <t xml:space="preserve"> normal </t>
        </is>
      </c>
    </row>
    <row r="49">
      <c r="A49" t="inlineStr">
        <is>
          <t>O0048</t>
        </is>
      </c>
      <c r="B49" s="2" t="n">
        <v>45997</v>
      </c>
      <c r="C49" t="inlineStr">
        <is>
          <t>South</t>
        </is>
      </c>
      <c r="D49" t="inlineStr">
        <is>
          <t>Texas</t>
        </is>
      </c>
      <c r="E49" t="inlineStr">
        <is>
          <t>Priya Patel</t>
        </is>
      </c>
      <c r="F49" t="inlineStr">
        <is>
          <t xml:space="preserve"> Neha  Joshi </t>
        </is>
      </c>
      <c r="G49" t="inlineStr">
        <is>
          <t>Accessory</t>
        </is>
      </c>
      <c r="H49" t="inlineStr">
        <is>
          <t>P110</t>
        </is>
      </c>
      <c r="I49" t="inlineStr">
        <is>
          <t>Keyboard</t>
        </is>
      </c>
      <c r="J49" t="n">
        <v>11</v>
      </c>
      <c r="K49" s="3" t="n">
        <v>59</v>
      </c>
      <c r="L49" s="4" t="n">
        <v>0.1</v>
      </c>
      <c r="M49" s="3" t="n">
        <v>584.1</v>
      </c>
      <c r="N49" s="3" t="n">
        <v>500</v>
      </c>
      <c r="O49" s="2" t="n">
        <v>45998</v>
      </c>
      <c r="P49" s="2" t="n">
        <v>45999</v>
      </c>
      <c r="Q49" t="inlineStr">
        <is>
          <t>Credit Card</t>
        </is>
      </c>
      <c r="R49" t="inlineStr">
        <is>
          <t>Returning</t>
        </is>
      </c>
      <c r="S49" t="n">
        <v>4</v>
      </c>
      <c r="T49" t="inlineStr">
        <is>
          <t>ok</t>
        </is>
      </c>
    </row>
    <row r="50">
      <c r="A50" t="inlineStr">
        <is>
          <t>O0049</t>
        </is>
      </c>
      <c r="B50" s="2" t="n">
        <v>45830</v>
      </c>
      <c r="C50" t="inlineStr">
        <is>
          <t>West</t>
        </is>
      </c>
      <c r="D50" t="inlineStr">
        <is>
          <t>Texas</t>
        </is>
      </c>
      <c r="E50" t="inlineStr">
        <is>
          <t>Neha Joshi</t>
        </is>
      </c>
      <c r="F50" t="inlineStr">
        <is>
          <t xml:space="preserve"> Rahul Shah </t>
        </is>
      </c>
      <c r="G50" t="inlineStr">
        <is>
          <t>Tablet</t>
        </is>
      </c>
      <c r="H50" t="inlineStr">
        <is>
          <t>P106</t>
        </is>
      </c>
      <c r="I50" t="inlineStr">
        <is>
          <t>Galaxy Tab</t>
        </is>
      </c>
      <c r="J50" t="n">
        <v>13</v>
      </c>
      <c r="K50" s="3" t="n">
        <v>499</v>
      </c>
      <c r="L50" s="4" t="n">
        <v>0.1</v>
      </c>
      <c r="M50" s="3" t="n">
        <v>5838.3</v>
      </c>
      <c r="N50" s="3" t="n">
        <v>750</v>
      </c>
      <c r="O50" s="2" t="n">
        <v>45834</v>
      </c>
      <c r="P50" s="2" t="n">
        <v>45837</v>
      </c>
      <c r="Q50" t="inlineStr">
        <is>
          <t>Credit Card</t>
        </is>
      </c>
      <c r="R50" t="inlineStr">
        <is>
          <t>Corporate</t>
        </is>
      </c>
      <c r="S50" t="n">
        <v>5</v>
      </c>
      <c r="T50" t="inlineStr">
        <is>
          <t xml:space="preserve"> normal </t>
        </is>
      </c>
    </row>
    <row r="51">
      <c r="A51" t="inlineStr">
        <is>
          <t>O0050</t>
        </is>
      </c>
      <c r="B51" s="2" t="n">
        <v>45693</v>
      </c>
      <c r="C51" t="inlineStr">
        <is>
          <t>North</t>
        </is>
      </c>
      <c r="D51" t="inlineStr">
        <is>
          <t>Illinois</t>
        </is>
      </c>
      <c r="E51" t="inlineStr">
        <is>
          <t>John Smith</t>
        </is>
      </c>
      <c r="F51" t="inlineStr">
        <is>
          <t xml:space="preserve"> Rahul Shah </t>
        </is>
      </c>
      <c r="G51" t="inlineStr">
        <is>
          <t>Accessory</t>
        </is>
      </c>
      <c r="H51" t="inlineStr">
        <is>
          <t>P111</t>
        </is>
      </c>
      <c r="I51" t="inlineStr">
        <is>
          <t>Mouse</t>
        </is>
      </c>
      <c r="J51" t="n">
        <v>1</v>
      </c>
      <c r="K51" s="3" t="n">
        <v>39</v>
      </c>
      <c r="L51" s="4" t="n">
        <v>0.02</v>
      </c>
      <c r="M51" s="3" t="n">
        <v>38.22</v>
      </c>
      <c r="N51" s="3" t="n">
        <v>500</v>
      </c>
      <c r="O51" s="2" t="n">
        <v>45694</v>
      </c>
      <c r="P51" s="2" t="n">
        <v>45701</v>
      </c>
      <c r="Q51" t="inlineStr">
        <is>
          <t>UPI</t>
        </is>
      </c>
      <c r="R51" t="inlineStr">
        <is>
          <t>New</t>
        </is>
      </c>
      <c r="S51" t="n">
        <v>2</v>
      </c>
      <c r="T51" t="inlineStr">
        <is>
          <t xml:space="preserve">  follow-up  </t>
        </is>
      </c>
    </row>
    <row r="52">
      <c r="A52" t="inlineStr">
        <is>
          <t>O0051</t>
        </is>
      </c>
      <c r="B52" s="2" t="n">
        <v>45896</v>
      </c>
      <c r="C52" t="inlineStr">
        <is>
          <t>East</t>
        </is>
      </c>
      <c r="D52" t="inlineStr">
        <is>
          <t>New Jersey</t>
        </is>
      </c>
      <c r="E52" t="inlineStr">
        <is>
          <t>Sara Khan</t>
        </is>
      </c>
      <c r="F52" t="inlineStr">
        <is>
          <t>John Smith</t>
        </is>
      </c>
      <c r="G52" t="inlineStr">
        <is>
          <t>Laptop</t>
        </is>
      </c>
      <c r="H52" t="inlineStr">
        <is>
          <t>P104</t>
        </is>
      </c>
      <c r="I52" t="inlineStr">
        <is>
          <t>Inspiron 15</t>
        </is>
      </c>
      <c r="J52" t="n">
        <v>6</v>
      </c>
      <c r="K52" s="3" t="n">
        <v>749</v>
      </c>
      <c r="L52" s="4" t="n">
        <v>0.02</v>
      </c>
      <c r="M52" s="3" t="n">
        <v>4404.12</v>
      </c>
      <c r="N52" s="3" t="n">
        <v>1500</v>
      </c>
      <c r="O52" s="2" t="n">
        <v>45899</v>
      </c>
      <c r="P52" s="2" t="n">
        <v>45906</v>
      </c>
      <c r="Q52" t="inlineStr">
        <is>
          <t>Credit Card</t>
        </is>
      </c>
      <c r="R52" t="inlineStr">
        <is>
          <t>New</t>
        </is>
      </c>
      <c r="S52" t="n">
        <v>3</v>
      </c>
      <c r="T52" t="inlineStr">
        <is>
          <t xml:space="preserve"> normal </t>
        </is>
      </c>
    </row>
    <row r="53">
      <c r="A53" t="inlineStr">
        <is>
          <t>O0052</t>
        </is>
      </c>
      <c r="B53" s="2" t="n">
        <v>46004</v>
      </c>
      <c r="C53" t="inlineStr">
        <is>
          <t>East</t>
        </is>
      </c>
      <c r="D53" t="inlineStr">
        <is>
          <t>Massachusetts</t>
        </is>
      </c>
      <c r="E53" t="inlineStr">
        <is>
          <t>Sara Khan</t>
        </is>
      </c>
      <c r="F53" t="inlineStr">
        <is>
          <t>John Smith</t>
        </is>
      </c>
      <c r="G53" t="inlineStr">
        <is>
          <t>Accessory</t>
        </is>
      </c>
      <c r="H53" t="inlineStr">
        <is>
          <t>P110</t>
        </is>
      </c>
      <c r="I53" t="inlineStr">
        <is>
          <t>Keyboard</t>
        </is>
      </c>
      <c r="J53" t="n">
        <v>12</v>
      </c>
      <c r="K53" s="3" t="n">
        <v>59</v>
      </c>
      <c r="L53" s="4" t="n">
        <v>0.02</v>
      </c>
      <c r="M53" s="3" t="n">
        <v>693.84</v>
      </c>
      <c r="N53" s="3" t="n">
        <v>300</v>
      </c>
      <c r="O53" s="2" t="n">
        <v>46008</v>
      </c>
      <c r="P53" s="2" t="n">
        <v>46012</v>
      </c>
      <c r="Q53" t="inlineStr">
        <is>
          <t>UPI</t>
        </is>
      </c>
      <c r="R53" t="inlineStr">
        <is>
          <t>New</t>
        </is>
      </c>
      <c r="S53" t="n">
        <v>3</v>
      </c>
      <c r="T53" t="inlineStr"/>
    </row>
    <row r="54">
      <c r="A54" t="inlineStr">
        <is>
          <t>O0053</t>
        </is>
      </c>
      <c r="B54" s="2" t="n">
        <v>45835</v>
      </c>
      <c r="C54" t="inlineStr">
        <is>
          <t>East</t>
        </is>
      </c>
      <c r="D54" t="inlineStr">
        <is>
          <t>New Jersey</t>
        </is>
      </c>
      <c r="E54" t="inlineStr">
        <is>
          <t>Sara Khan</t>
        </is>
      </c>
      <c r="F54" t="inlineStr">
        <is>
          <t>John Smith</t>
        </is>
      </c>
      <c r="G54" t="inlineStr">
        <is>
          <t>Mobile</t>
        </is>
      </c>
      <c r="H54" t="inlineStr">
        <is>
          <t>P101</t>
        </is>
      </c>
      <c r="I54" t="inlineStr">
        <is>
          <t>iPhone 15</t>
        </is>
      </c>
      <c r="J54" t="n">
        <v>11</v>
      </c>
      <c r="K54" s="3" t="n">
        <v>699</v>
      </c>
      <c r="L54" s="4" t="n">
        <v>0.05</v>
      </c>
      <c r="M54" s="3" t="n">
        <v>7304.55</v>
      </c>
      <c r="N54" s="3" t="n">
        <v>300</v>
      </c>
      <c r="O54" s="2" t="n">
        <v>45840</v>
      </c>
      <c r="P54" s="2" t="n">
        <v>45844</v>
      </c>
      <c r="Q54" t="inlineStr">
        <is>
          <t>Cash</t>
        </is>
      </c>
      <c r="R54" t="inlineStr">
        <is>
          <t>New</t>
        </is>
      </c>
      <c r="S54" t="n">
        <v>4</v>
      </c>
      <c r="T54" t="inlineStr"/>
    </row>
    <row r="55">
      <c r="A55" t="inlineStr">
        <is>
          <t>O0054</t>
        </is>
      </c>
      <c r="B55" s="2" t="n">
        <v>45843</v>
      </c>
      <c r="C55" t="inlineStr">
        <is>
          <t>South</t>
        </is>
      </c>
      <c r="D55" t="inlineStr">
        <is>
          <t>Florida</t>
        </is>
      </c>
      <c r="E55" t="inlineStr">
        <is>
          <t>John Smith</t>
        </is>
      </c>
      <c r="F55" t="inlineStr">
        <is>
          <t>Sara Khan</t>
        </is>
      </c>
      <c r="G55" t="inlineStr">
        <is>
          <t>Audio</t>
        </is>
      </c>
      <c r="H55" t="inlineStr">
        <is>
          <t>P107</t>
        </is>
      </c>
      <c r="I55" t="inlineStr">
        <is>
          <t>AirPods</t>
        </is>
      </c>
      <c r="J55" t="n">
        <v>3</v>
      </c>
      <c r="K55" s="3" t="n">
        <v>179</v>
      </c>
      <c r="L55" s="4" t="n">
        <v>0.1</v>
      </c>
      <c r="M55" s="3" t="n">
        <v>483.3</v>
      </c>
      <c r="N55" s="3" t="n">
        <v>500</v>
      </c>
      <c r="O55" s="2" t="n">
        <v>45847</v>
      </c>
      <c r="P55" s="2" t="n">
        <v>45853</v>
      </c>
      <c r="Q55" t="inlineStr">
        <is>
          <t>Cash</t>
        </is>
      </c>
      <c r="R55" t="inlineStr">
        <is>
          <t>Corporate</t>
        </is>
      </c>
      <c r="S55" t="n">
        <v>5</v>
      </c>
      <c r="T55" t="inlineStr"/>
    </row>
    <row r="56">
      <c r="A56" t="inlineStr">
        <is>
          <t>O0055</t>
        </is>
      </c>
      <c r="B56" s="2" t="n">
        <v>45961</v>
      </c>
      <c r="C56" t="inlineStr">
        <is>
          <t>South</t>
        </is>
      </c>
      <c r="D56" t="inlineStr">
        <is>
          <t>Georgia</t>
        </is>
      </c>
      <c r="E56" t="inlineStr">
        <is>
          <t>Rahul Mehta</t>
        </is>
      </c>
      <c r="F56" t="inlineStr">
        <is>
          <t xml:space="preserve"> Rahul Shah </t>
        </is>
      </c>
      <c r="G56" t="inlineStr">
        <is>
          <t>Audio</t>
        </is>
      </c>
      <c r="H56" t="inlineStr">
        <is>
          <t>P107</t>
        </is>
      </c>
      <c r="I56" t="inlineStr">
        <is>
          <t>AirPods</t>
        </is>
      </c>
      <c r="J56" t="n">
        <v>14</v>
      </c>
      <c r="K56" s="3" t="n">
        <v>179</v>
      </c>
      <c r="L56" s="4" t="n">
        <v>0.02</v>
      </c>
      <c r="M56" s="3" t="n">
        <v>2455.88</v>
      </c>
      <c r="N56" s="3" t="n">
        <v>5000</v>
      </c>
      <c r="O56" s="2" t="n">
        <v>45964</v>
      </c>
      <c r="P56" s="2" t="n">
        <v>45967</v>
      </c>
      <c r="Q56" t="inlineStr">
        <is>
          <t>Bank Transfer</t>
        </is>
      </c>
      <c r="R56" t="inlineStr">
        <is>
          <t>New</t>
        </is>
      </c>
      <c r="S56" t="n">
        <v>4</v>
      </c>
      <c r="T56" t="inlineStr">
        <is>
          <t>NORMAL</t>
        </is>
      </c>
    </row>
    <row r="57">
      <c r="A57" t="inlineStr">
        <is>
          <t>O0056</t>
        </is>
      </c>
      <c r="B57" s="2" t="n">
        <v>45911</v>
      </c>
      <c r="C57" t="inlineStr">
        <is>
          <t>South</t>
        </is>
      </c>
      <c r="D57" t="inlineStr">
        <is>
          <t>Georgia</t>
        </is>
      </c>
      <c r="E57" t="inlineStr">
        <is>
          <t>Rahul Mehta</t>
        </is>
      </c>
      <c r="F57" t="inlineStr">
        <is>
          <t>PRIYA PATEL</t>
        </is>
      </c>
      <c r="G57" t="inlineStr">
        <is>
          <t>Mobile</t>
        </is>
      </c>
      <c r="H57" t="inlineStr">
        <is>
          <t>P101</t>
        </is>
      </c>
      <c r="I57" t="inlineStr">
        <is>
          <t>iPhone 15</t>
        </is>
      </c>
      <c r="J57" t="n">
        <v>8</v>
      </c>
      <c r="K57" s="3" t="n">
        <v>699</v>
      </c>
      <c r="L57" s="4" t="n">
        <v>0.02</v>
      </c>
      <c r="M57" s="3" t="n">
        <v>5480.16</v>
      </c>
      <c r="N57" s="3" t="n">
        <v>750</v>
      </c>
      <c r="O57" s="2" t="n">
        <v>45914</v>
      </c>
      <c r="P57" s="2" t="n">
        <v>45916</v>
      </c>
      <c r="Q57" t="inlineStr">
        <is>
          <t>Cash</t>
        </is>
      </c>
      <c r="R57" t="inlineStr">
        <is>
          <t>Corporate</t>
        </is>
      </c>
      <c r="S57" t="n">
        <v>3</v>
      </c>
      <c r="T57" t="inlineStr">
        <is>
          <t>NORMAL</t>
        </is>
      </c>
    </row>
    <row r="58">
      <c r="A58" t="inlineStr">
        <is>
          <t>O0057</t>
        </is>
      </c>
      <c r="B58" s="2" t="n">
        <v>45701</v>
      </c>
      <c r="C58" t="inlineStr">
        <is>
          <t>East</t>
        </is>
      </c>
      <c r="D58" t="inlineStr">
        <is>
          <t>New Jersey</t>
        </is>
      </c>
      <c r="E58" t="inlineStr">
        <is>
          <t>Sara Khan</t>
        </is>
      </c>
      <c r="F58" t="inlineStr">
        <is>
          <t>rAhUl shAh</t>
        </is>
      </c>
      <c r="G58" t="inlineStr">
        <is>
          <t>Laptop</t>
        </is>
      </c>
      <c r="H58" t="inlineStr">
        <is>
          <t>P104</t>
        </is>
      </c>
      <c r="I58" t="inlineStr">
        <is>
          <t>Inspiron 15</t>
        </is>
      </c>
      <c r="J58" t="n">
        <v>7</v>
      </c>
      <c r="K58" s="3" t="n">
        <v>749</v>
      </c>
      <c r="L58" s="4" t="n">
        <v>0.1</v>
      </c>
      <c r="M58" s="3" t="n">
        <v>4718.7</v>
      </c>
      <c r="N58" s="3" t="n">
        <v>1500</v>
      </c>
      <c r="O58" s="2" t="n">
        <v>45703</v>
      </c>
      <c r="P58" s="2" t="n">
        <v>45709</v>
      </c>
      <c r="Q58" t="inlineStr">
        <is>
          <t>Bank Transfer</t>
        </is>
      </c>
      <c r="R58" t="inlineStr">
        <is>
          <t>Corporate</t>
        </is>
      </c>
      <c r="S58" t="n">
        <v>4</v>
      </c>
      <c r="T58" t="inlineStr">
        <is>
          <t xml:space="preserve">  follow-up  </t>
        </is>
      </c>
    </row>
    <row r="59">
      <c r="A59" t="inlineStr">
        <is>
          <t>O0058</t>
        </is>
      </c>
      <c r="B59" s="2" t="n">
        <v>45771</v>
      </c>
      <c r="C59" t="inlineStr">
        <is>
          <t>East</t>
        </is>
      </c>
      <c r="D59" t="inlineStr">
        <is>
          <t>New York</t>
        </is>
      </c>
      <c r="E59" t="inlineStr">
        <is>
          <t>Rahul Mehta</t>
        </is>
      </c>
      <c r="F59" t="inlineStr">
        <is>
          <t>John Smith</t>
        </is>
      </c>
      <c r="G59" t="inlineStr">
        <is>
          <t>Tablet</t>
        </is>
      </c>
      <c r="H59" t="inlineStr">
        <is>
          <t>P105</t>
        </is>
      </c>
      <c r="I59" t="inlineStr">
        <is>
          <t>iPad Air</t>
        </is>
      </c>
      <c r="J59" t="n">
        <v>4</v>
      </c>
      <c r="K59" s="3" t="n">
        <v>599</v>
      </c>
      <c r="L59" s="4" t="n">
        <v>0.05</v>
      </c>
      <c r="M59" s="3" t="n">
        <v>2276.2</v>
      </c>
      <c r="N59" s="3" t="n">
        <v>2500</v>
      </c>
      <c r="O59" s="2" t="n">
        <v>45775</v>
      </c>
      <c r="P59" s="2" t="n">
        <v>45781</v>
      </c>
      <c r="Q59" t="inlineStr">
        <is>
          <t>Bank Transfer</t>
        </is>
      </c>
      <c r="R59" t="inlineStr">
        <is>
          <t>Corporate</t>
        </is>
      </c>
      <c r="S59" t="n">
        <v>5</v>
      </c>
      <c r="T59" t="inlineStr">
        <is>
          <t>ok</t>
        </is>
      </c>
    </row>
    <row r="60">
      <c r="A60" t="inlineStr">
        <is>
          <t>O0059</t>
        </is>
      </c>
      <c r="B60" s="2" t="n">
        <v>45827</v>
      </c>
      <c r="C60" t="inlineStr">
        <is>
          <t>South</t>
        </is>
      </c>
      <c r="D60" t="inlineStr">
        <is>
          <t>Texas</t>
        </is>
      </c>
      <c r="E60" t="inlineStr">
        <is>
          <t>Priya Patel</t>
        </is>
      </c>
      <c r="F60" t="inlineStr">
        <is>
          <t>PRIYA PATEL</t>
        </is>
      </c>
      <c r="G60" t="inlineStr">
        <is>
          <t>Monitor</t>
        </is>
      </c>
      <c r="H60" t="inlineStr">
        <is>
          <t>P109</t>
        </is>
      </c>
      <c r="I60" t="inlineStr">
        <is>
          <t>Monitor 24</t>
        </is>
      </c>
      <c r="J60" t="n">
        <v>8</v>
      </c>
      <c r="K60" s="3" t="n">
        <v>229</v>
      </c>
      <c r="L60" s="4" t="n">
        <v>0.05</v>
      </c>
      <c r="M60" s="3" t="n">
        <v>1740.4</v>
      </c>
      <c r="N60" s="3" t="n">
        <v>750</v>
      </c>
      <c r="O60" s="2" t="n">
        <v>45830</v>
      </c>
      <c r="P60" s="2" t="n">
        <v>45836</v>
      </c>
      <c r="Q60" t="inlineStr">
        <is>
          <t>Credit Card</t>
        </is>
      </c>
      <c r="R60" t="inlineStr">
        <is>
          <t>Corporate</t>
        </is>
      </c>
      <c r="S60" t="n">
        <v>2</v>
      </c>
      <c r="T60" t="inlineStr">
        <is>
          <t>ok</t>
        </is>
      </c>
    </row>
    <row r="61">
      <c r="A61" t="inlineStr">
        <is>
          <t>O0060</t>
        </is>
      </c>
      <c r="B61" s="2" t="n">
        <v>46011</v>
      </c>
      <c r="C61" t="inlineStr">
        <is>
          <t>East</t>
        </is>
      </c>
      <c r="D61" t="inlineStr">
        <is>
          <t>New Jersey</t>
        </is>
      </c>
      <c r="E61" t="inlineStr">
        <is>
          <t>John Smith</t>
        </is>
      </c>
      <c r="F61" t="inlineStr">
        <is>
          <t>Sara Khan</t>
        </is>
      </c>
      <c r="G61" t="inlineStr">
        <is>
          <t>Monitor</t>
        </is>
      </c>
      <c r="H61" t="inlineStr">
        <is>
          <t>P109</t>
        </is>
      </c>
      <c r="I61" t="inlineStr">
        <is>
          <t>Monitor 24</t>
        </is>
      </c>
      <c r="J61" t="n">
        <v>4</v>
      </c>
      <c r="K61" s="3" t="n">
        <v>229</v>
      </c>
      <c r="L61" s="4" t="n">
        <v>0.1</v>
      </c>
      <c r="M61" s="3" t="n">
        <v>824.4</v>
      </c>
      <c r="N61" s="3" t="n">
        <v>750</v>
      </c>
      <c r="O61" s="2" t="n">
        <v>46013</v>
      </c>
      <c r="P61" s="2" t="n">
        <v>46015</v>
      </c>
      <c r="Q61" t="inlineStr">
        <is>
          <t>Cash</t>
        </is>
      </c>
      <c r="R61" t="inlineStr">
        <is>
          <t>New</t>
        </is>
      </c>
      <c r="S61" t="n">
        <v>2</v>
      </c>
      <c r="T61" t="inlineStr">
        <is>
          <t>ok</t>
        </is>
      </c>
    </row>
    <row r="62">
      <c r="A62" t="inlineStr">
        <is>
          <t>O0061</t>
        </is>
      </c>
      <c r="B62" s="2" t="n">
        <v>45812</v>
      </c>
      <c r="C62" t="inlineStr">
        <is>
          <t>West</t>
        </is>
      </c>
      <c r="D62" t="inlineStr">
        <is>
          <t>Texas</t>
        </is>
      </c>
      <c r="E62" t="inlineStr">
        <is>
          <t>Amit Shah</t>
        </is>
      </c>
      <c r="F62" t="inlineStr">
        <is>
          <t xml:space="preserve"> Rahul Shah </t>
        </is>
      </c>
      <c r="G62" t="inlineStr">
        <is>
          <t>Laptop</t>
        </is>
      </c>
      <c r="H62" t="inlineStr">
        <is>
          <t>P103</t>
        </is>
      </c>
      <c r="I62" t="inlineStr">
        <is>
          <t>ThinkPad E14</t>
        </is>
      </c>
      <c r="J62" t="n">
        <v>9</v>
      </c>
      <c r="K62" s="3" t="n">
        <v>899</v>
      </c>
      <c r="L62" s="4" t="n">
        <v>0.02</v>
      </c>
      <c r="M62" s="3" t="n">
        <v>7929.18</v>
      </c>
      <c r="N62" s="3" t="n">
        <v>750</v>
      </c>
      <c r="O62" s="2" t="n">
        <v>45813</v>
      </c>
      <c r="P62" s="2" t="n">
        <v>45819</v>
      </c>
      <c r="Q62" t="inlineStr">
        <is>
          <t>Cash</t>
        </is>
      </c>
      <c r="R62" t="inlineStr">
        <is>
          <t>Corporate</t>
        </is>
      </c>
      <c r="S62" t="n">
        <v>2</v>
      </c>
      <c r="T62" t="inlineStr">
        <is>
          <t>refund pending</t>
        </is>
      </c>
    </row>
    <row r="63">
      <c r="A63" t="inlineStr">
        <is>
          <t>O0062</t>
        </is>
      </c>
      <c r="B63" s="2" t="n">
        <v>45951</v>
      </c>
      <c r="C63" t="inlineStr">
        <is>
          <t>South</t>
        </is>
      </c>
      <c r="D63" t="inlineStr">
        <is>
          <t>Florida</t>
        </is>
      </c>
      <c r="E63" t="inlineStr">
        <is>
          <t>Amit Shah</t>
        </is>
      </c>
      <c r="F63" t="inlineStr">
        <is>
          <t>rAhUl shAh</t>
        </is>
      </c>
      <c r="G63" t="inlineStr">
        <is>
          <t>Mobile</t>
        </is>
      </c>
      <c r="H63" t="inlineStr">
        <is>
          <t>P101</t>
        </is>
      </c>
      <c r="I63" t="inlineStr">
        <is>
          <t>iPhone 15</t>
        </is>
      </c>
      <c r="J63" t="n">
        <v>8</v>
      </c>
      <c r="K63" s="3" t="n">
        <v>699</v>
      </c>
      <c r="L63" s="4" t="n">
        <v>0.1</v>
      </c>
      <c r="M63" s="3" t="n">
        <v>5032.8</v>
      </c>
      <c r="N63" s="3" t="n">
        <v>750</v>
      </c>
      <c r="O63" s="2" t="n">
        <v>45954</v>
      </c>
      <c r="P63" s="2" t="n">
        <v>45958</v>
      </c>
      <c r="Q63" t="inlineStr">
        <is>
          <t>Cash</t>
        </is>
      </c>
      <c r="R63" t="inlineStr">
        <is>
          <t>Returning</t>
        </is>
      </c>
      <c r="S63" t="n">
        <v>1</v>
      </c>
      <c r="T63" t="inlineStr"/>
    </row>
    <row r="64">
      <c r="A64" t="inlineStr">
        <is>
          <t>O0063</t>
        </is>
      </c>
      <c r="B64" s="2" t="n">
        <v>45695</v>
      </c>
      <c r="C64" t="inlineStr">
        <is>
          <t>East</t>
        </is>
      </c>
      <c r="D64" t="inlineStr">
        <is>
          <t>Massachusetts</t>
        </is>
      </c>
      <c r="E64" t="inlineStr">
        <is>
          <t>John Smith</t>
        </is>
      </c>
      <c r="F64" t="inlineStr">
        <is>
          <t>rAhUl shAh</t>
        </is>
      </c>
      <c r="G64" t="inlineStr">
        <is>
          <t>Audio</t>
        </is>
      </c>
      <c r="H64" t="inlineStr">
        <is>
          <t>P108</t>
        </is>
      </c>
      <c r="I64" t="inlineStr">
        <is>
          <t>Buds Pro</t>
        </is>
      </c>
      <c r="J64" t="n">
        <v>11</v>
      </c>
      <c r="K64" s="3" t="n">
        <v>129</v>
      </c>
      <c r="L64" s="4" t="n">
        <v>0</v>
      </c>
      <c r="M64" s="3" t="n">
        <v>1419</v>
      </c>
      <c r="N64" s="3" t="n">
        <v>500</v>
      </c>
      <c r="O64" s="2" t="n">
        <v>45700</v>
      </c>
      <c r="P64" s="2" t="n">
        <v>45706</v>
      </c>
      <c r="Q64" t="inlineStr">
        <is>
          <t>Cash</t>
        </is>
      </c>
      <c r="R64" t="inlineStr">
        <is>
          <t>New</t>
        </is>
      </c>
      <c r="S64" t="n">
        <v>2</v>
      </c>
      <c r="T64" t="inlineStr">
        <is>
          <t xml:space="preserve"> normal </t>
        </is>
      </c>
    </row>
    <row r="65">
      <c r="A65" t="inlineStr">
        <is>
          <t>O0064</t>
        </is>
      </c>
      <c r="B65" s="2" t="n">
        <v>45974</v>
      </c>
      <c r="C65" t="inlineStr">
        <is>
          <t>South</t>
        </is>
      </c>
      <c r="D65" t="inlineStr">
        <is>
          <t>Texas</t>
        </is>
      </c>
      <c r="E65" t="inlineStr">
        <is>
          <t>Rahul Mehta</t>
        </is>
      </c>
      <c r="F65" t="inlineStr">
        <is>
          <t xml:space="preserve"> Neha  Joshi </t>
        </is>
      </c>
      <c r="G65" t="inlineStr">
        <is>
          <t>Accessory</t>
        </is>
      </c>
      <c r="H65" t="inlineStr">
        <is>
          <t>P110</t>
        </is>
      </c>
      <c r="I65" t="inlineStr">
        <is>
          <t>Keyboard</t>
        </is>
      </c>
      <c r="J65" t="n">
        <v>9</v>
      </c>
      <c r="K65" s="3" t="n">
        <v>59</v>
      </c>
      <c r="L65" s="4" t="n">
        <v>0.1</v>
      </c>
      <c r="M65" s="3" t="n">
        <v>477.9</v>
      </c>
      <c r="N65" s="3" t="n">
        <v>1000</v>
      </c>
      <c r="O65" s="2" t="n">
        <v>45976</v>
      </c>
      <c r="P65" s="2" t="n">
        <v>45983</v>
      </c>
      <c r="Q65" t="inlineStr">
        <is>
          <t>Bank Transfer</t>
        </is>
      </c>
      <c r="R65" t="inlineStr">
        <is>
          <t>Returning</t>
        </is>
      </c>
      <c r="S65" t="n">
        <v>5</v>
      </c>
      <c r="T65" t="inlineStr">
        <is>
          <t>NORMAL</t>
        </is>
      </c>
    </row>
    <row r="66">
      <c r="A66" t="inlineStr">
        <is>
          <t>O0065</t>
        </is>
      </c>
      <c r="B66" s="2" t="n">
        <v>45708</v>
      </c>
      <c r="C66" t="inlineStr">
        <is>
          <t>East</t>
        </is>
      </c>
      <c r="D66" t="inlineStr">
        <is>
          <t>New Jersey</t>
        </is>
      </c>
      <c r="E66" t="inlineStr">
        <is>
          <t>Priya Patel</t>
        </is>
      </c>
      <c r="F66" t="inlineStr">
        <is>
          <t xml:space="preserve"> Rahul Shah </t>
        </is>
      </c>
      <c r="G66" t="inlineStr">
        <is>
          <t>Accessory</t>
        </is>
      </c>
      <c r="H66" t="inlineStr">
        <is>
          <t>P112</t>
        </is>
      </c>
      <c r="I66" t="inlineStr">
        <is>
          <t>PowerBank</t>
        </is>
      </c>
      <c r="J66" t="n">
        <v>4</v>
      </c>
      <c r="K66" s="3" t="n">
        <v>49</v>
      </c>
      <c r="L66" s="4" t="n">
        <v>0.05</v>
      </c>
      <c r="M66" s="3" t="n">
        <v>186.2</v>
      </c>
      <c r="N66" s="3" t="n">
        <v>2500</v>
      </c>
      <c r="O66" s="2" t="n">
        <v>45710</v>
      </c>
      <c r="P66" s="2" t="n">
        <v>45716</v>
      </c>
      <c r="Q66" t="inlineStr">
        <is>
          <t>UPI</t>
        </is>
      </c>
      <c r="R66" t="inlineStr">
        <is>
          <t>New</t>
        </is>
      </c>
      <c r="S66" t="n">
        <v>5</v>
      </c>
      <c r="T66" t="inlineStr">
        <is>
          <t xml:space="preserve"> normal </t>
        </is>
      </c>
    </row>
    <row r="67">
      <c r="A67" t="inlineStr">
        <is>
          <t>O0066</t>
        </is>
      </c>
      <c r="B67" s="2" t="n">
        <v>45888</v>
      </c>
      <c r="C67" t="inlineStr">
        <is>
          <t>West</t>
        </is>
      </c>
      <c r="D67" t="inlineStr">
        <is>
          <t>California</t>
        </is>
      </c>
      <c r="E67" t="inlineStr">
        <is>
          <t>Sara Khan</t>
        </is>
      </c>
      <c r="F67" t="inlineStr">
        <is>
          <t>PRIYA PATEL</t>
        </is>
      </c>
      <c r="G67" t="inlineStr">
        <is>
          <t>Audio</t>
        </is>
      </c>
      <c r="H67" t="inlineStr">
        <is>
          <t>P107</t>
        </is>
      </c>
      <c r="I67" t="inlineStr">
        <is>
          <t>AirPods</t>
        </is>
      </c>
      <c r="J67" t="n">
        <v>5</v>
      </c>
      <c r="K67" s="3" t="n">
        <v>179</v>
      </c>
      <c r="L67" s="4" t="n">
        <v>0</v>
      </c>
      <c r="M67" s="3" t="n">
        <v>895</v>
      </c>
      <c r="N67" s="3" t="n">
        <v>500</v>
      </c>
      <c r="O67" s="2" t="n">
        <v>45893</v>
      </c>
      <c r="P67" s="2" t="n">
        <v>45897</v>
      </c>
      <c r="Q67" t="inlineStr">
        <is>
          <t>Cash</t>
        </is>
      </c>
      <c r="R67" t="inlineStr">
        <is>
          <t>Corporate</t>
        </is>
      </c>
      <c r="S67" t="n">
        <v>4</v>
      </c>
      <c r="T67" t="inlineStr">
        <is>
          <t xml:space="preserve"> normal </t>
        </is>
      </c>
    </row>
    <row r="68">
      <c r="A68" t="inlineStr">
        <is>
          <t>O0067</t>
        </is>
      </c>
      <c r="B68" s="2" t="n">
        <v>45959</v>
      </c>
      <c r="C68" t="inlineStr">
        <is>
          <t>West</t>
        </is>
      </c>
      <c r="D68" t="inlineStr">
        <is>
          <t>Texas</t>
        </is>
      </c>
      <c r="E68" t="inlineStr">
        <is>
          <t>Priya Patel</t>
        </is>
      </c>
      <c r="F68" t="inlineStr">
        <is>
          <t>Sara Khan</t>
        </is>
      </c>
      <c r="G68" t="inlineStr">
        <is>
          <t>Accessory</t>
        </is>
      </c>
      <c r="H68" t="inlineStr">
        <is>
          <t>P111</t>
        </is>
      </c>
      <c r="I68" t="inlineStr">
        <is>
          <t>Mouse</t>
        </is>
      </c>
      <c r="J68" t="n">
        <v>2</v>
      </c>
      <c r="K68" s="3" t="n">
        <v>39</v>
      </c>
      <c r="L68" s="4" t="n">
        <v>0.15</v>
      </c>
      <c r="M68" s="3" t="n">
        <v>66.3</v>
      </c>
      <c r="N68" s="3" t="n">
        <v>500</v>
      </c>
      <c r="O68" s="2" t="n">
        <v>45961</v>
      </c>
      <c r="P68" s="2" t="n">
        <v>45965</v>
      </c>
      <c r="Q68" t="inlineStr">
        <is>
          <t>Cash</t>
        </is>
      </c>
      <c r="R68" t="inlineStr">
        <is>
          <t>New</t>
        </is>
      </c>
      <c r="S68" t="n">
        <v>1</v>
      </c>
      <c r="T68" t="inlineStr">
        <is>
          <t xml:space="preserve"> normal </t>
        </is>
      </c>
    </row>
    <row r="69">
      <c r="A69" t="inlineStr">
        <is>
          <t>O0068</t>
        </is>
      </c>
      <c r="B69" s="2" t="n">
        <v>45949</v>
      </c>
      <c r="C69" t="inlineStr">
        <is>
          <t>West</t>
        </is>
      </c>
      <c r="D69" t="inlineStr">
        <is>
          <t>Texas</t>
        </is>
      </c>
      <c r="E69" t="inlineStr">
        <is>
          <t>Sara Khan</t>
        </is>
      </c>
      <c r="F69" t="inlineStr">
        <is>
          <t>PRIYA PATEL</t>
        </is>
      </c>
      <c r="G69" t="inlineStr">
        <is>
          <t>Accessory</t>
        </is>
      </c>
      <c r="H69" t="inlineStr">
        <is>
          <t>P110</t>
        </is>
      </c>
      <c r="I69" t="inlineStr">
        <is>
          <t>Keyboard</t>
        </is>
      </c>
      <c r="J69" t="n">
        <v>2</v>
      </c>
      <c r="K69" s="3" t="n">
        <v>59</v>
      </c>
      <c r="L69" s="4" t="n">
        <v>0.1</v>
      </c>
      <c r="M69" s="3" t="n">
        <v>106.2</v>
      </c>
      <c r="N69" s="3" t="n">
        <v>2500</v>
      </c>
      <c r="O69" s="2" t="n">
        <v>45952</v>
      </c>
      <c r="P69" s="2" t="n">
        <v>45956</v>
      </c>
      <c r="Q69" t="inlineStr">
        <is>
          <t>Bank Transfer</t>
        </is>
      </c>
      <c r="R69" t="inlineStr">
        <is>
          <t>Returning</t>
        </is>
      </c>
      <c r="S69" t="n">
        <v>5</v>
      </c>
      <c r="T69" t="inlineStr">
        <is>
          <t>NORMAL</t>
        </is>
      </c>
    </row>
    <row r="70">
      <c r="A70" t="inlineStr">
        <is>
          <t>O0069</t>
        </is>
      </c>
      <c r="B70" s="2" t="n">
        <v>45964</v>
      </c>
      <c r="C70" t="inlineStr">
        <is>
          <t>South</t>
        </is>
      </c>
      <c r="D70" t="inlineStr">
        <is>
          <t>Georgia</t>
        </is>
      </c>
      <c r="E70" t="inlineStr">
        <is>
          <t>Amit Shah</t>
        </is>
      </c>
      <c r="F70" t="inlineStr">
        <is>
          <t>PRIYA PATEL</t>
        </is>
      </c>
      <c r="G70" t="inlineStr">
        <is>
          <t>Mobile</t>
        </is>
      </c>
      <c r="H70" t="inlineStr">
        <is>
          <t>P102</t>
        </is>
      </c>
      <c r="I70" t="inlineStr">
        <is>
          <t>Galaxy S24</t>
        </is>
      </c>
      <c r="J70" t="n">
        <v>12</v>
      </c>
      <c r="K70" s="3" t="n">
        <v>799</v>
      </c>
      <c r="L70" s="4" t="n">
        <v>0.05</v>
      </c>
      <c r="M70" s="3" t="n">
        <v>9108.6</v>
      </c>
      <c r="N70" s="3" t="n">
        <v>1500</v>
      </c>
      <c r="O70" s="2" t="n">
        <v>45965</v>
      </c>
      <c r="P70" s="2" t="n">
        <v>45969</v>
      </c>
      <c r="Q70" t="inlineStr">
        <is>
          <t>Credit Card</t>
        </is>
      </c>
      <c r="R70" t="inlineStr">
        <is>
          <t>New</t>
        </is>
      </c>
      <c r="S70" t="n">
        <v>5</v>
      </c>
      <c r="T70" t="inlineStr">
        <is>
          <t>NORMAL</t>
        </is>
      </c>
    </row>
    <row r="71">
      <c r="A71" t="inlineStr">
        <is>
          <t>O0070</t>
        </is>
      </c>
      <c r="B71" s="2" t="n">
        <v>45953</v>
      </c>
      <c r="C71" t="inlineStr">
        <is>
          <t>East</t>
        </is>
      </c>
      <c r="D71" t="inlineStr">
        <is>
          <t>New Jersey</t>
        </is>
      </c>
      <c r="E71" t="inlineStr">
        <is>
          <t>Sara Khan</t>
        </is>
      </c>
      <c r="F71" t="inlineStr">
        <is>
          <t>John Smith</t>
        </is>
      </c>
      <c r="G71" t="inlineStr">
        <is>
          <t>Tablet</t>
        </is>
      </c>
      <c r="H71" t="inlineStr">
        <is>
          <t>P105</t>
        </is>
      </c>
      <c r="I71" t="inlineStr">
        <is>
          <t>iPad Air</t>
        </is>
      </c>
      <c r="J71" t="n">
        <v>13</v>
      </c>
      <c r="K71" s="3" t="n">
        <v>599</v>
      </c>
      <c r="L71" s="4" t="n">
        <v>0.02</v>
      </c>
      <c r="M71" s="3" t="n">
        <v>7631.26</v>
      </c>
      <c r="N71" s="3" t="n">
        <v>1000</v>
      </c>
      <c r="O71" s="2" t="n">
        <v>45954</v>
      </c>
      <c r="P71" s="2" t="n">
        <v>45961</v>
      </c>
      <c r="Q71" t="inlineStr">
        <is>
          <t>Bank Transfer</t>
        </is>
      </c>
      <c r="R71" t="inlineStr">
        <is>
          <t>Returning</t>
        </is>
      </c>
      <c r="S71" t="n">
        <v>2</v>
      </c>
      <c r="T71" t="inlineStr">
        <is>
          <t>NORMAL</t>
        </is>
      </c>
    </row>
    <row r="72">
      <c r="A72" t="inlineStr">
        <is>
          <t>O0071</t>
        </is>
      </c>
      <c r="B72" s="2" t="n">
        <v>45704</v>
      </c>
      <c r="C72" t="inlineStr">
        <is>
          <t>South</t>
        </is>
      </c>
      <c r="D72" t="inlineStr">
        <is>
          <t>Texas</t>
        </is>
      </c>
      <c r="E72" t="inlineStr">
        <is>
          <t>Amit Shah</t>
        </is>
      </c>
      <c r="F72" t="inlineStr">
        <is>
          <t>Sara Khan</t>
        </is>
      </c>
      <c r="G72" t="inlineStr">
        <is>
          <t>Audio</t>
        </is>
      </c>
      <c r="H72" t="inlineStr">
        <is>
          <t>P108</t>
        </is>
      </c>
      <c r="I72" t="inlineStr">
        <is>
          <t>Buds Pro</t>
        </is>
      </c>
      <c r="J72" t="n">
        <v>7</v>
      </c>
      <c r="K72" s="3" t="n">
        <v>129</v>
      </c>
      <c r="L72" s="4" t="n">
        <v>0.05</v>
      </c>
      <c r="M72" s="3" t="n">
        <v>857.85</v>
      </c>
      <c r="N72" s="3" t="n">
        <v>750</v>
      </c>
      <c r="O72" s="2" t="n">
        <v>45708</v>
      </c>
      <c r="P72" s="2" t="n">
        <v>45711</v>
      </c>
      <c r="Q72" t="inlineStr">
        <is>
          <t>UPI</t>
        </is>
      </c>
      <c r="R72" t="inlineStr">
        <is>
          <t>Returning</t>
        </is>
      </c>
      <c r="S72" t="n">
        <v>4</v>
      </c>
      <c r="T72" t="inlineStr">
        <is>
          <t>refund pending</t>
        </is>
      </c>
    </row>
    <row r="73">
      <c r="A73" t="inlineStr">
        <is>
          <t>O0072</t>
        </is>
      </c>
      <c r="B73" s="2" t="n">
        <v>45863</v>
      </c>
      <c r="C73" t="inlineStr">
        <is>
          <t>South</t>
        </is>
      </c>
      <c r="D73" t="inlineStr">
        <is>
          <t>Georgia</t>
        </is>
      </c>
      <c r="E73" t="inlineStr">
        <is>
          <t>Rahul Mehta</t>
        </is>
      </c>
      <c r="F73" t="inlineStr">
        <is>
          <t>PRIYA PATEL</t>
        </is>
      </c>
      <c r="G73" t="inlineStr">
        <is>
          <t>Accessory</t>
        </is>
      </c>
      <c r="H73" t="inlineStr">
        <is>
          <t>P111</t>
        </is>
      </c>
      <c r="I73" t="inlineStr">
        <is>
          <t>Mouse</t>
        </is>
      </c>
      <c r="J73" t="n">
        <v>8</v>
      </c>
      <c r="K73" s="3" t="n">
        <v>39</v>
      </c>
      <c r="L73" s="4" t="n">
        <v>0</v>
      </c>
      <c r="M73" s="3" t="n">
        <v>312</v>
      </c>
      <c r="N73" s="3" t="n">
        <v>750</v>
      </c>
      <c r="O73" s="2" t="n">
        <v>45868</v>
      </c>
      <c r="P73" s="2" t="n">
        <v>45869</v>
      </c>
      <c r="Q73" t="inlineStr">
        <is>
          <t>Credit Card</t>
        </is>
      </c>
      <c r="R73" t="inlineStr">
        <is>
          <t>Returning</t>
        </is>
      </c>
      <c r="S73" t="n">
        <v>5</v>
      </c>
      <c r="T73" t="inlineStr"/>
    </row>
    <row r="74">
      <c r="A74" t="inlineStr">
        <is>
          <t>O0073</t>
        </is>
      </c>
      <c r="B74" s="2" t="n">
        <v>45894</v>
      </c>
      <c r="C74" t="inlineStr">
        <is>
          <t>East</t>
        </is>
      </c>
      <c r="D74" t="inlineStr">
        <is>
          <t>New Jersey</t>
        </is>
      </c>
      <c r="E74" t="inlineStr">
        <is>
          <t>Neha Joshi</t>
        </is>
      </c>
      <c r="F74" t="inlineStr">
        <is>
          <t>John Smith</t>
        </is>
      </c>
      <c r="G74" t="inlineStr">
        <is>
          <t>Monitor</t>
        </is>
      </c>
      <c r="H74" t="inlineStr">
        <is>
          <t>P109</t>
        </is>
      </c>
      <c r="I74" t="inlineStr">
        <is>
          <t>Monitor 24</t>
        </is>
      </c>
      <c r="J74" t="n">
        <v>4</v>
      </c>
      <c r="K74" s="3" t="n">
        <v>229</v>
      </c>
      <c r="L74" s="4" t="n">
        <v>0.15</v>
      </c>
      <c r="M74" s="3" t="n">
        <v>778.6</v>
      </c>
      <c r="N74" s="3" t="n">
        <v>750</v>
      </c>
      <c r="O74" s="2" t="n">
        <v>45898</v>
      </c>
      <c r="P74" s="2" t="n">
        <v>45899</v>
      </c>
      <c r="Q74" t="inlineStr">
        <is>
          <t>Bank Transfer</t>
        </is>
      </c>
      <c r="R74" t="inlineStr">
        <is>
          <t>New</t>
        </is>
      </c>
      <c r="S74" t="n">
        <v>2</v>
      </c>
      <c r="T74" t="inlineStr">
        <is>
          <t>ok</t>
        </is>
      </c>
    </row>
    <row r="75">
      <c r="A75" t="inlineStr">
        <is>
          <t>O0074</t>
        </is>
      </c>
      <c r="B75" s="2" t="n">
        <v>46015</v>
      </c>
      <c r="C75" t="inlineStr">
        <is>
          <t>West</t>
        </is>
      </c>
      <c r="D75" t="inlineStr">
        <is>
          <t>Texas</t>
        </is>
      </c>
      <c r="E75" t="inlineStr">
        <is>
          <t>Sara Khan</t>
        </is>
      </c>
      <c r="F75" t="inlineStr">
        <is>
          <t xml:space="preserve">rAhUl shAh </t>
        </is>
      </c>
      <c r="G75" t="inlineStr">
        <is>
          <t>Audio</t>
        </is>
      </c>
      <c r="H75" t="inlineStr">
        <is>
          <t>P108</t>
        </is>
      </c>
      <c r="I75" t="inlineStr">
        <is>
          <t>Buds Pro</t>
        </is>
      </c>
      <c r="J75" t="n">
        <v>1</v>
      </c>
      <c r="K75" s="3" t="n">
        <v>129</v>
      </c>
      <c r="L75" s="4" t="n">
        <v>0.15</v>
      </c>
      <c r="M75" s="3" t="n">
        <v>109.65</v>
      </c>
      <c r="N75" s="3" t="n">
        <v>5000</v>
      </c>
      <c r="O75" s="2" t="n">
        <v>46019</v>
      </c>
      <c r="P75" s="2" t="n">
        <v>46020</v>
      </c>
      <c r="Q75" t="inlineStr">
        <is>
          <t>UPI</t>
        </is>
      </c>
      <c r="R75" t="inlineStr">
        <is>
          <t>Returning</t>
        </is>
      </c>
      <c r="S75" t="n">
        <v>5</v>
      </c>
      <c r="T75" t="inlineStr">
        <is>
          <t xml:space="preserve"> normal </t>
        </is>
      </c>
    </row>
    <row r="76">
      <c r="A76" t="inlineStr">
        <is>
          <t>O0075</t>
        </is>
      </c>
      <c r="B76" s="2" t="n">
        <v>45716</v>
      </c>
      <c r="C76" t="inlineStr">
        <is>
          <t>South</t>
        </is>
      </c>
      <c r="D76" t="inlineStr">
        <is>
          <t>Florida</t>
        </is>
      </c>
      <c r="E76" t="inlineStr">
        <is>
          <t>Rahul Mehta</t>
        </is>
      </c>
      <c r="F76" t="inlineStr">
        <is>
          <t>Sara Khan</t>
        </is>
      </c>
      <c r="G76" t="inlineStr">
        <is>
          <t>Laptop</t>
        </is>
      </c>
      <c r="H76" t="inlineStr">
        <is>
          <t>P104</t>
        </is>
      </c>
      <c r="I76" t="inlineStr">
        <is>
          <t>Inspiron 15</t>
        </is>
      </c>
      <c r="J76" t="n">
        <v>11</v>
      </c>
      <c r="K76" s="3" t="n">
        <v>749</v>
      </c>
      <c r="L76" s="4" t="n">
        <v>0.02</v>
      </c>
      <c r="M76" s="3" t="n">
        <v>8074.22</v>
      </c>
      <c r="N76" s="3" t="n">
        <v>1000</v>
      </c>
      <c r="O76" s="2" t="n">
        <v>45720</v>
      </c>
      <c r="P76" s="2" t="n">
        <v>45721</v>
      </c>
      <c r="Q76" t="inlineStr">
        <is>
          <t>Cash</t>
        </is>
      </c>
      <c r="R76" t="inlineStr">
        <is>
          <t>Returning</t>
        </is>
      </c>
      <c r="S76" t="n">
        <v>4</v>
      </c>
      <c r="T76" t="inlineStr">
        <is>
          <t xml:space="preserve">  follow-up  </t>
        </is>
      </c>
    </row>
    <row r="77">
      <c r="A77" t="inlineStr">
        <is>
          <t>O0076</t>
        </is>
      </c>
      <c r="B77" s="2" t="n">
        <v>45732</v>
      </c>
      <c r="C77" t="inlineStr">
        <is>
          <t>West</t>
        </is>
      </c>
      <c r="D77" t="inlineStr">
        <is>
          <t>Texas</t>
        </is>
      </c>
      <c r="E77" t="inlineStr">
        <is>
          <t>Priya Patel</t>
        </is>
      </c>
      <c r="F77" t="inlineStr">
        <is>
          <t>Sara Khan</t>
        </is>
      </c>
      <c r="G77" t="inlineStr">
        <is>
          <t>Monitor</t>
        </is>
      </c>
      <c r="H77" t="inlineStr">
        <is>
          <t>P109</t>
        </is>
      </c>
      <c r="I77" t="inlineStr">
        <is>
          <t>Monitor 24</t>
        </is>
      </c>
      <c r="J77" t="n">
        <v>15</v>
      </c>
      <c r="K77" s="3" t="n">
        <v>229</v>
      </c>
      <c r="L77" s="4" t="n">
        <v>0.15</v>
      </c>
      <c r="M77" s="3" t="n">
        <v>2919.75</v>
      </c>
      <c r="N77" s="3" t="n">
        <v>1500</v>
      </c>
      <c r="O77" s="2" t="n">
        <v>45736</v>
      </c>
      <c r="P77" s="2" t="n">
        <v>45738</v>
      </c>
      <c r="Q77" t="inlineStr">
        <is>
          <t>Credit Card</t>
        </is>
      </c>
      <c r="R77" t="inlineStr">
        <is>
          <t>Returning</t>
        </is>
      </c>
      <c r="S77" t="n">
        <v>4</v>
      </c>
      <c r="T77" t="inlineStr">
        <is>
          <t>ok</t>
        </is>
      </c>
    </row>
    <row r="78">
      <c r="A78" t="inlineStr">
        <is>
          <t>O0077</t>
        </is>
      </c>
      <c r="B78" s="2" t="n">
        <v>45810</v>
      </c>
      <c r="C78" t="inlineStr">
        <is>
          <t>North</t>
        </is>
      </c>
      <c r="D78" t="inlineStr">
        <is>
          <t>Illinois</t>
        </is>
      </c>
      <c r="E78" t="inlineStr">
        <is>
          <t>Neha Joshi</t>
        </is>
      </c>
      <c r="F78" t="inlineStr">
        <is>
          <t>rAhUl shAh</t>
        </is>
      </c>
      <c r="G78" t="inlineStr">
        <is>
          <t>Tablet</t>
        </is>
      </c>
      <c r="H78" t="inlineStr">
        <is>
          <t>P105</t>
        </is>
      </c>
      <c r="I78" t="inlineStr">
        <is>
          <t>iPad Air</t>
        </is>
      </c>
      <c r="J78" t="n">
        <v>11</v>
      </c>
      <c r="K78" s="3" t="n">
        <v>599</v>
      </c>
      <c r="L78" s="4" t="n">
        <v>0.1</v>
      </c>
      <c r="M78" s="3" t="n">
        <v>5930.1</v>
      </c>
      <c r="N78" s="3" t="n">
        <v>5000</v>
      </c>
      <c r="O78" s="2" t="n">
        <v>45815</v>
      </c>
      <c r="P78" s="2" t="n">
        <v>45820</v>
      </c>
      <c r="Q78" t="inlineStr">
        <is>
          <t>Bank Transfer</t>
        </is>
      </c>
      <c r="R78" t="inlineStr">
        <is>
          <t>Returning</t>
        </is>
      </c>
      <c r="S78" t="n">
        <v>3</v>
      </c>
      <c r="T78" t="inlineStr">
        <is>
          <t>NORMAL</t>
        </is>
      </c>
    </row>
    <row r="79">
      <c r="A79" t="inlineStr">
        <is>
          <t>O0078</t>
        </is>
      </c>
      <c r="B79" s="2" t="n">
        <v>45754</v>
      </c>
      <c r="C79" t="inlineStr">
        <is>
          <t>South</t>
        </is>
      </c>
      <c r="D79" t="inlineStr">
        <is>
          <t>Georgia</t>
        </is>
      </c>
      <c r="E79" t="inlineStr">
        <is>
          <t>Amit Shah</t>
        </is>
      </c>
      <c r="F79" t="inlineStr">
        <is>
          <t xml:space="preserve"> Neha  Joshi </t>
        </is>
      </c>
      <c r="G79" t="inlineStr">
        <is>
          <t>Tablet</t>
        </is>
      </c>
      <c r="H79" t="inlineStr">
        <is>
          <t>P106</t>
        </is>
      </c>
      <c r="I79" t="inlineStr">
        <is>
          <t>Galaxy Tab</t>
        </is>
      </c>
      <c r="J79" t="n">
        <v>7</v>
      </c>
      <c r="K79" s="3" t="n">
        <v>499</v>
      </c>
      <c r="L79" s="4" t="n">
        <v>0.02</v>
      </c>
      <c r="M79" s="3" t="n">
        <v>3423.14</v>
      </c>
      <c r="N79" s="3" t="n">
        <v>5000</v>
      </c>
      <c r="O79" s="2" t="n">
        <v>45756</v>
      </c>
      <c r="P79" s="2" t="n">
        <v>45761</v>
      </c>
      <c r="Q79" t="inlineStr">
        <is>
          <t>Cash</t>
        </is>
      </c>
      <c r="R79" t="inlineStr">
        <is>
          <t>Corporate</t>
        </is>
      </c>
      <c r="S79" t="n">
        <v>4</v>
      </c>
      <c r="T79" t="inlineStr">
        <is>
          <t>refund pending</t>
        </is>
      </c>
    </row>
    <row r="80">
      <c r="A80" t="inlineStr">
        <is>
          <t>O0079</t>
        </is>
      </c>
      <c r="B80" s="2" t="n">
        <v>45991</v>
      </c>
      <c r="C80" t="inlineStr">
        <is>
          <t>South</t>
        </is>
      </c>
      <c r="D80" t="inlineStr">
        <is>
          <t>Georgia</t>
        </is>
      </c>
      <c r="E80" t="inlineStr">
        <is>
          <t>Rahul Mehta</t>
        </is>
      </c>
      <c r="F80" t="inlineStr">
        <is>
          <t>John Smith</t>
        </is>
      </c>
      <c r="G80" t="inlineStr">
        <is>
          <t>Accessory</t>
        </is>
      </c>
      <c r="H80" t="inlineStr">
        <is>
          <t>P111</t>
        </is>
      </c>
      <c r="I80" t="inlineStr">
        <is>
          <t>Mouse</t>
        </is>
      </c>
      <c r="J80" t="n">
        <v>1</v>
      </c>
      <c r="K80" s="3" t="n">
        <v>39</v>
      </c>
      <c r="L80" s="4" t="n">
        <v>0.02</v>
      </c>
      <c r="M80" s="3" t="n">
        <v>38.22</v>
      </c>
      <c r="N80" s="3" t="n">
        <v>1500</v>
      </c>
      <c r="O80" s="2" t="n">
        <v>45993</v>
      </c>
      <c r="P80" s="2" t="n">
        <v>45997</v>
      </c>
      <c r="Q80" t="inlineStr">
        <is>
          <t>Credit Card</t>
        </is>
      </c>
      <c r="R80" t="inlineStr">
        <is>
          <t>Returning</t>
        </is>
      </c>
      <c r="S80" t="n">
        <v>1</v>
      </c>
      <c r="T80" t="inlineStr">
        <is>
          <t>NORMAL</t>
        </is>
      </c>
    </row>
    <row r="81">
      <c r="A81" t="inlineStr">
        <is>
          <t>O0080</t>
        </is>
      </c>
      <c r="B81" s="2" t="n">
        <v>45731</v>
      </c>
      <c r="C81" t="inlineStr">
        <is>
          <t>South</t>
        </is>
      </c>
      <c r="D81" t="inlineStr">
        <is>
          <t>Florida</t>
        </is>
      </c>
      <c r="E81" t="inlineStr">
        <is>
          <t>Rahul Mehta</t>
        </is>
      </c>
      <c r="F81" t="inlineStr">
        <is>
          <t xml:space="preserve"> Neha  Joshi </t>
        </is>
      </c>
      <c r="G81" t="inlineStr">
        <is>
          <t>Accessory</t>
        </is>
      </c>
      <c r="H81" t="inlineStr">
        <is>
          <t>P112</t>
        </is>
      </c>
      <c r="I81" t="inlineStr">
        <is>
          <t>PowerBank</t>
        </is>
      </c>
      <c r="J81" t="n">
        <v>11</v>
      </c>
      <c r="K81" s="3" t="n">
        <v>49</v>
      </c>
      <c r="L81" s="4" t="n">
        <v>0.02</v>
      </c>
      <c r="M81" s="3" t="n">
        <v>528.22</v>
      </c>
      <c r="N81" s="3" t="n">
        <v>300</v>
      </c>
      <c r="O81" s="2" t="n">
        <v>45735</v>
      </c>
      <c r="P81" s="2" t="n">
        <v>45742</v>
      </c>
      <c r="Q81" t="inlineStr">
        <is>
          <t>Cash</t>
        </is>
      </c>
      <c r="R81" t="inlineStr">
        <is>
          <t>Corporate</t>
        </is>
      </c>
      <c r="S81" t="n">
        <v>4</v>
      </c>
      <c r="T81" t="inlineStr">
        <is>
          <t>refund pending</t>
        </is>
      </c>
    </row>
    <row r="82">
      <c r="A82" t="inlineStr">
        <is>
          <t>O0081</t>
        </is>
      </c>
      <c r="B82" s="2" t="n">
        <v>45931</v>
      </c>
      <c r="C82" t="inlineStr">
        <is>
          <t>East</t>
        </is>
      </c>
      <c r="D82" t="inlineStr">
        <is>
          <t>Massachusetts</t>
        </is>
      </c>
      <c r="E82" t="inlineStr">
        <is>
          <t>Amit Shah</t>
        </is>
      </c>
      <c r="F82" t="inlineStr">
        <is>
          <t>John Smith</t>
        </is>
      </c>
      <c r="G82" t="inlineStr">
        <is>
          <t>Accessory</t>
        </is>
      </c>
      <c r="H82" t="inlineStr">
        <is>
          <t>P111</t>
        </is>
      </c>
      <c r="I82" t="inlineStr">
        <is>
          <t>Mouse</t>
        </is>
      </c>
      <c r="J82" t="n">
        <v>11</v>
      </c>
      <c r="K82" s="3" t="n">
        <v>39</v>
      </c>
      <c r="L82" s="4" t="n">
        <v>0.1</v>
      </c>
      <c r="M82" s="3" t="n">
        <v>386.1</v>
      </c>
      <c r="N82" s="3" t="n">
        <v>5000</v>
      </c>
      <c r="O82" s="2" t="n">
        <v>45935</v>
      </c>
      <c r="P82" s="2" t="n">
        <v>45938</v>
      </c>
      <c r="Q82" t="inlineStr">
        <is>
          <t>Credit Card</t>
        </is>
      </c>
      <c r="R82" t="inlineStr">
        <is>
          <t>New</t>
        </is>
      </c>
      <c r="S82" t="n">
        <v>3</v>
      </c>
      <c r="T82" t="inlineStr">
        <is>
          <t>urgent</t>
        </is>
      </c>
    </row>
    <row r="83">
      <c r="A83" t="inlineStr">
        <is>
          <t>O0082</t>
        </is>
      </c>
      <c r="B83" s="2" t="n">
        <v>45982</v>
      </c>
      <c r="C83" t="inlineStr">
        <is>
          <t>East</t>
        </is>
      </c>
      <c r="D83" t="inlineStr">
        <is>
          <t>Massachusetts</t>
        </is>
      </c>
      <c r="E83" t="inlineStr">
        <is>
          <t>Rahul Mehta</t>
        </is>
      </c>
      <c r="F83" t="inlineStr">
        <is>
          <t xml:space="preserve"> Rahul Shah </t>
        </is>
      </c>
      <c r="G83" t="inlineStr">
        <is>
          <t>Mobile</t>
        </is>
      </c>
      <c r="H83" t="inlineStr">
        <is>
          <t>P102</t>
        </is>
      </c>
      <c r="I83" t="inlineStr">
        <is>
          <t>Galaxy S24</t>
        </is>
      </c>
      <c r="J83" t="n">
        <v>3</v>
      </c>
      <c r="K83" s="3" t="n">
        <v>799</v>
      </c>
      <c r="L83" s="4" t="n">
        <v>0.05</v>
      </c>
      <c r="M83" s="3" t="n">
        <v>2277.15</v>
      </c>
      <c r="N83" s="3" t="n">
        <v>300</v>
      </c>
      <c r="O83" s="2" t="n">
        <v>45983</v>
      </c>
      <c r="P83" s="2" t="n">
        <v>45987</v>
      </c>
      <c r="Q83" t="inlineStr">
        <is>
          <t>Credit Card</t>
        </is>
      </c>
      <c r="R83" t="inlineStr">
        <is>
          <t>Returning</t>
        </is>
      </c>
      <c r="S83" t="n">
        <v>3</v>
      </c>
      <c r="T83" t="inlineStr">
        <is>
          <t>ok</t>
        </is>
      </c>
    </row>
    <row r="84">
      <c r="A84" t="inlineStr">
        <is>
          <t>O0083</t>
        </is>
      </c>
      <c r="B84" s="2" t="n">
        <v>45929</v>
      </c>
      <c r="C84" t="inlineStr">
        <is>
          <t>South</t>
        </is>
      </c>
      <c r="D84" t="inlineStr">
        <is>
          <t>Florida</t>
        </is>
      </c>
      <c r="E84" t="inlineStr">
        <is>
          <t>Amit Shah</t>
        </is>
      </c>
      <c r="F84" t="inlineStr">
        <is>
          <t>rAhUl shAh</t>
        </is>
      </c>
      <c r="G84" t="inlineStr">
        <is>
          <t>Laptop</t>
        </is>
      </c>
      <c r="H84" t="inlineStr">
        <is>
          <t>P104</t>
        </is>
      </c>
      <c r="I84" t="inlineStr">
        <is>
          <t>Inspiron 15</t>
        </is>
      </c>
      <c r="J84" t="n">
        <v>11</v>
      </c>
      <c r="K84" s="3" t="n">
        <v>749</v>
      </c>
      <c r="L84" s="4" t="n">
        <v>0.02</v>
      </c>
      <c r="M84" s="3" t="n">
        <v>8074.22</v>
      </c>
      <c r="N84" s="3" t="n">
        <v>500</v>
      </c>
      <c r="O84" s="2" t="n">
        <v>45933</v>
      </c>
      <c r="P84" s="2" t="n">
        <v>45938</v>
      </c>
      <c r="Q84" t="inlineStr">
        <is>
          <t>Bank Transfer</t>
        </is>
      </c>
      <c r="R84" t="inlineStr">
        <is>
          <t>Corporate</t>
        </is>
      </c>
      <c r="S84" t="n">
        <v>2</v>
      </c>
      <c r="T84" t="inlineStr">
        <is>
          <t xml:space="preserve">  follow-up  </t>
        </is>
      </c>
    </row>
    <row r="85">
      <c r="A85" t="inlineStr">
        <is>
          <t>O0084</t>
        </is>
      </c>
      <c r="B85" s="2" t="n">
        <v>45984</v>
      </c>
      <c r="C85" t="inlineStr">
        <is>
          <t>West</t>
        </is>
      </c>
      <c r="D85" t="inlineStr">
        <is>
          <t>California</t>
        </is>
      </c>
      <c r="E85" t="inlineStr">
        <is>
          <t>Rahul Mehta</t>
        </is>
      </c>
      <c r="F85" t="inlineStr">
        <is>
          <t xml:space="preserve"> Neha  Joshi </t>
        </is>
      </c>
      <c r="G85" t="inlineStr">
        <is>
          <t>Audio</t>
        </is>
      </c>
      <c r="H85" t="inlineStr">
        <is>
          <t>P108</t>
        </is>
      </c>
      <c r="I85" t="inlineStr">
        <is>
          <t>Buds Pro</t>
        </is>
      </c>
      <c r="J85" t="n">
        <v>5</v>
      </c>
      <c r="K85" s="3" t="n">
        <v>129</v>
      </c>
      <c r="L85" s="4" t="n">
        <v>0</v>
      </c>
      <c r="M85" s="3" t="n">
        <v>645</v>
      </c>
      <c r="N85" s="3" t="n">
        <v>5000</v>
      </c>
      <c r="O85" s="2" t="n">
        <v>45987</v>
      </c>
      <c r="P85" s="2" t="n">
        <v>45991</v>
      </c>
      <c r="Q85" t="inlineStr">
        <is>
          <t>UPI</t>
        </is>
      </c>
      <c r="R85" t="inlineStr">
        <is>
          <t>New</t>
        </is>
      </c>
      <c r="S85" t="n">
        <v>4</v>
      </c>
      <c r="T85" t="inlineStr">
        <is>
          <t>ok</t>
        </is>
      </c>
    </row>
    <row r="86">
      <c r="A86" t="inlineStr">
        <is>
          <t>O0085</t>
        </is>
      </c>
      <c r="B86" s="2" t="n">
        <v>46011</v>
      </c>
      <c r="C86" t="inlineStr">
        <is>
          <t>North</t>
        </is>
      </c>
      <c r="D86" t="inlineStr">
        <is>
          <t>Minnesota</t>
        </is>
      </c>
      <c r="E86" t="inlineStr">
        <is>
          <t>Neha Joshi</t>
        </is>
      </c>
      <c r="F86" t="inlineStr">
        <is>
          <t xml:space="preserve"> Neha  Joshi </t>
        </is>
      </c>
      <c r="G86" t="inlineStr">
        <is>
          <t>Audio</t>
        </is>
      </c>
      <c r="H86" t="inlineStr">
        <is>
          <t>P107</t>
        </is>
      </c>
      <c r="I86" t="inlineStr">
        <is>
          <t>AirPods</t>
        </is>
      </c>
      <c r="J86" t="n">
        <v>14</v>
      </c>
      <c r="K86" s="3" t="n">
        <v>179</v>
      </c>
      <c r="L86" s="4" t="n">
        <v>0.05</v>
      </c>
      <c r="M86" s="3" t="n">
        <v>2380.7</v>
      </c>
      <c r="N86" s="3" t="n">
        <v>500</v>
      </c>
      <c r="O86" s="2" t="n">
        <v>46014</v>
      </c>
      <c r="P86" s="2" t="n">
        <v>46018</v>
      </c>
      <c r="Q86" t="inlineStr">
        <is>
          <t>Credit Card</t>
        </is>
      </c>
      <c r="R86" t="inlineStr">
        <is>
          <t>New</t>
        </is>
      </c>
      <c r="S86" t="n">
        <v>4</v>
      </c>
      <c r="T86" t="inlineStr">
        <is>
          <t>NORMAL</t>
        </is>
      </c>
    </row>
    <row r="87">
      <c r="A87" t="inlineStr">
        <is>
          <t>O0086</t>
        </is>
      </c>
      <c r="B87" s="2" t="n">
        <v>46016</v>
      </c>
      <c r="C87" t="inlineStr">
        <is>
          <t>North</t>
        </is>
      </c>
      <c r="D87" t="inlineStr">
        <is>
          <t>Minnesota</t>
        </is>
      </c>
      <c r="E87" t="inlineStr">
        <is>
          <t>John Smith</t>
        </is>
      </c>
      <c r="F87" t="inlineStr">
        <is>
          <t xml:space="preserve"> Rahul Shah </t>
        </is>
      </c>
      <c r="G87" t="inlineStr">
        <is>
          <t>Tablet</t>
        </is>
      </c>
      <c r="H87" t="inlineStr">
        <is>
          <t>P105</t>
        </is>
      </c>
      <c r="I87" t="inlineStr">
        <is>
          <t>iPad Air</t>
        </is>
      </c>
      <c r="J87" t="n">
        <v>14</v>
      </c>
      <c r="K87" s="3" t="n">
        <v>599</v>
      </c>
      <c r="L87" s="4" t="n">
        <v>0.1</v>
      </c>
      <c r="M87" s="3" t="n">
        <v>7547.4</v>
      </c>
      <c r="N87" s="3" t="n">
        <v>750</v>
      </c>
      <c r="O87" s="2" t="n">
        <v>46019</v>
      </c>
      <c r="P87" s="2" t="n">
        <v>46020</v>
      </c>
      <c r="Q87" t="inlineStr">
        <is>
          <t>Credit Card</t>
        </is>
      </c>
      <c r="R87" t="inlineStr">
        <is>
          <t>Corporate</t>
        </is>
      </c>
      <c r="S87" t="n">
        <v>4</v>
      </c>
      <c r="T87" t="inlineStr"/>
    </row>
    <row r="88">
      <c r="A88" t="inlineStr">
        <is>
          <t>O0087</t>
        </is>
      </c>
      <c r="B88" s="2" t="n">
        <v>45838</v>
      </c>
      <c r="C88" t="inlineStr">
        <is>
          <t>North</t>
        </is>
      </c>
      <c r="D88" t="inlineStr">
        <is>
          <t>Illinois</t>
        </is>
      </c>
      <c r="E88" t="inlineStr">
        <is>
          <t>Sara Khan</t>
        </is>
      </c>
      <c r="F88" t="inlineStr">
        <is>
          <t>Sara Khan</t>
        </is>
      </c>
      <c r="G88" t="inlineStr">
        <is>
          <t>Accessory</t>
        </is>
      </c>
      <c r="H88" t="inlineStr">
        <is>
          <t>P110</t>
        </is>
      </c>
      <c r="I88" t="inlineStr">
        <is>
          <t>Keyboard</t>
        </is>
      </c>
      <c r="J88" t="n">
        <v>4</v>
      </c>
      <c r="K88" s="3" t="n">
        <v>59</v>
      </c>
      <c r="L88" s="4" t="n">
        <v>0.15</v>
      </c>
      <c r="M88" s="3" t="n">
        <v>200.6</v>
      </c>
      <c r="N88" s="3" t="n">
        <v>750</v>
      </c>
      <c r="O88" s="2" t="n">
        <v>45840</v>
      </c>
      <c r="P88" s="2" t="n">
        <v>45846</v>
      </c>
      <c r="Q88" t="inlineStr">
        <is>
          <t>UPI</t>
        </is>
      </c>
      <c r="R88" t="inlineStr">
        <is>
          <t>Corporate</t>
        </is>
      </c>
      <c r="S88" t="n">
        <v>1</v>
      </c>
      <c r="T88" t="inlineStr">
        <is>
          <t>refund pending</t>
        </is>
      </c>
    </row>
    <row r="89">
      <c r="A89" t="inlineStr">
        <is>
          <t>O0088</t>
        </is>
      </c>
      <c r="B89" s="2" t="n">
        <v>45675</v>
      </c>
      <c r="C89" t="inlineStr">
        <is>
          <t>East</t>
        </is>
      </c>
      <c r="D89" t="inlineStr">
        <is>
          <t>Massachusetts</t>
        </is>
      </c>
      <c r="E89" t="inlineStr">
        <is>
          <t>Rahul Mehta</t>
        </is>
      </c>
      <c r="F89" t="inlineStr">
        <is>
          <t>PRIYA PATEL</t>
        </is>
      </c>
      <c r="G89" t="inlineStr">
        <is>
          <t>Audio</t>
        </is>
      </c>
      <c r="H89" t="inlineStr">
        <is>
          <t>P108</t>
        </is>
      </c>
      <c r="I89" t="inlineStr">
        <is>
          <t>Buds Pro</t>
        </is>
      </c>
      <c r="J89" t="n">
        <v>12</v>
      </c>
      <c r="K89" s="3" t="n">
        <v>129</v>
      </c>
      <c r="L89" s="4" t="n">
        <v>0.02</v>
      </c>
      <c r="M89" s="3" t="n">
        <v>1517.04</v>
      </c>
      <c r="N89" s="3" t="n">
        <v>300</v>
      </c>
      <c r="O89" s="2" t="n">
        <v>45680</v>
      </c>
      <c r="P89" s="2" t="n">
        <v>45683</v>
      </c>
      <c r="Q89" t="inlineStr">
        <is>
          <t>Bank Transfer</t>
        </is>
      </c>
      <c r="R89" t="inlineStr">
        <is>
          <t>New</t>
        </is>
      </c>
      <c r="S89" t="n">
        <v>2</v>
      </c>
      <c r="T89" t="inlineStr">
        <is>
          <t>urgent</t>
        </is>
      </c>
    </row>
    <row r="90">
      <c r="A90" t="inlineStr">
        <is>
          <t>O0089</t>
        </is>
      </c>
      <c r="B90" s="2" t="n">
        <v>45797</v>
      </c>
      <c r="C90" t="inlineStr">
        <is>
          <t>North</t>
        </is>
      </c>
      <c r="D90" t="inlineStr">
        <is>
          <t>Minnesota</t>
        </is>
      </c>
      <c r="E90" t="inlineStr">
        <is>
          <t>Sara Khan</t>
        </is>
      </c>
      <c r="F90" t="inlineStr">
        <is>
          <t>PRIYA PATEL</t>
        </is>
      </c>
      <c r="G90" t="inlineStr">
        <is>
          <t>Monitor</t>
        </is>
      </c>
      <c r="H90" t="inlineStr">
        <is>
          <t>P109</t>
        </is>
      </c>
      <c r="I90" t="inlineStr">
        <is>
          <t>Monitor 24</t>
        </is>
      </c>
      <c r="J90" t="n">
        <v>15</v>
      </c>
      <c r="K90" s="3" t="n">
        <v>229</v>
      </c>
      <c r="L90" s="4" t="n">
        <v>0.1</v>
      </c>
      <c r="M90" s="3" t="n">
        <v>3091.5</v>
      </c>
      <c r="N90" s="3" t="n">
        <v>5000</v>
      </c>
      <c r="O90" s="2" t="n">
        <v>45799</v>
      </c>
      <c r="P90" s="2" t="n">
        <v>45802</v>
      </c>
      <c r="Q90" t="inlineStr">
        <is>
          <t>Cash</t>
        </is>
      </c>
      <c r="R90" t="inlineStr">
        <is>
          <t>New</t>
        </is>
      </c>
      <c r="S90" t="n">
        <v>4</v>
      </c>
      <c r="T90" t="inlineStr">
        <is>
          <t xml:space="preserve"> normal </t>
        </is>
      </c>
    </row>
    <row r="91">
      <c r="A91" t="inlineStr">
        <is>
          <t>O0090</t>
        </is>
      </c>
      <c r="B91" s="2" t="n">
        <v>46003</v>
      </c>
      <c r="C91" t="inlineStr">
        <is>
          <t>West</t>
        </is>
      </c>
      <c r="D91" t="inlineStr">
        <is>
          <t>California</t>
        </is>
      </c>
      <c r="E91" t="inlineStr">
        <is>
          <t>Neha Joshi</t>
        </is>
      </c>
      <c r="F91" t="inlineStr">
        <is>
          <t xml:space="preserve"> Rahul Shah </t>
        </is>
      </c>
      <c r="G91" t="inlineStr">
        <is>
          <t>Accessory</t>
        </is>
      </c>
      <c r="H91" t="inlineStr">
        <is>
          <t>P111</t>
        </is>
      </c>
      <c r="I91" t="inlineStr">
        <is>
          <t>Mouse</t>
        </is>
      </c>
      <c r="J91" t="n">
        <v>13</v>
      </c>
      <c r="K91" s="3" t="n">
        <v>39</v>
      </c>
      <c r="L91" s="4" t="n">
        <v>0.15</v>
      </c>
      <c r="M91" s="3" t="n">
        <v>430.95</v>
      </c>
      <c r="N91" s="3" t="n">
        <v>750</v>
      </c>
      <c r="O91" s="2" t="n">
        <v>46007</v>
      </c>
      <c r="P91" s="2" t="n">
        <v>46014</v>
      </c>
      <c r="Q91" t="inlineStr">
        <is>
          <t>Credit Card</t>
        </is>
      </c>
      <c r="R91" t="inlineStr">
        <is>
          <t>Returning</t>
        </is>
      </c>
      <c r="S91" t="n">
        <v>5</v>
      </c>
      <c r="T91" t="inlineStr">
        <is>
          <t xml:space="preserve"> normal </t>
        </is>
      </c>
    </row>
    <row r="92">
      <c r="A92" t="inlineStr">
        <is>
          <t>O0091</t>
        </is>
      </c>
      <c r="B92" s="2" t="n">
        <v>46002</v>
      </c>
      <c r="C92" t="inlineStr">
        <is>
          <t>South</t>
        </is>
      </c>
      <c r="D92" t="inlineStr">
        <is>
          <t>Georgia</t>
        </is>
      </c>
      <c r="E92" t="inlineStr">
        <is>
          <t>Priya Patel</t>
        </is>
      </c>
      <c r="F92" t="inlineStr">
        <is>
          <t>Sara Khan</t>
        </is>
      </c>
      <c r="G92" t="inlineStr">
        <is>
          <t>Accessory</t>
        </is>
      </c>
      <c r="H92" t="inlineStr">
        <is>
          <t>P111</t>
        </is>
      </c>
      <c r="I92" t="inlineStr">
        <is>
          <t>Mouse</t>
        </is>
      </c>
      <c r="J92" t="n">
        <v>7</v>
      </c>
      <c r="K92" s="3" t="n">
        <v>39</v>
      </c>
      <c r="L92" s="4" t="n">
        <v>0.05</v>
      </c>
      <c r="M92" s="3" t="n">
        <v>259.35</v>
      </c>
      <c r="N92" s="3" t="n">
        <v>300</v>
      </c>
      <c r="O92" s="2" t="n">
        <v>46005</v>
      </c>
      <c r="P92" s="2" t="n">
        <v>46010</v>
      </c>
      <c r="Q92" t="inlineStr">
        <is>
          <t>Bank Transfer</t>
        </is>
      </c>
      <c r="R92" t="inlineStr">
        <is>
          <t>New</t>
        </is>
      </c>
      <c r="S92" t="n">
        <v>5</v>
      </c>
      <c r="T92" t="inlineStr">
        <is>
          <t>NORMAL</t>
        </is>
      </c>
    </row>
    <row r="93">
      <c r="A93" t="inlineStr">
        <is>
          <t>O0092</t>
        </is>
      </c>
      <c r="B93" s="2" t="n">
        <v>45989</v>
      </c>
      <c r="C93" t="inlineStr">
        <is>
          <t>North</t>
        </is>
      </c>
      <c r="D93" t="inlineStr">
        <is>
          <t>Minnesota</t>
        </is>
      </c>
      <c r="E93" t="inlineStr">
        <is>
          <t>Sara Khan</t>
        </is>
      </c>
      <c r="F93" t="inlineStr">
        <is>
          <t>PRIYA PATEL</t>
        </is>
      </c>
      <c r="G93" t="inlineStr">
        <is>
          <t>Laptop</t>
        </is>
      </c>
      <c r="H93" t="inlineStr">
        <is>
          <t>P104</t>
        </is>
      </c>
      <c r="I93" t="inlineStr">
        <is>
          <t>Inspiron 15</t>
        </is>
      </c>
      <c r="J93" t="n">
        <v>14</v>
      </c>
      <c r="K93" s="3" t="n">
        <v>749</v>
      </c>
      <c r="L93" s="4" t="n">
        <v>0.1</v>
      </c>
      <c r="M93" s="3" t="n">
        <v>9437.4</v>
      </c>
      <c r="N93" s="3" t="n">
        <v>2500</v>
      </c>
      <c r="O93" s="2" t="n">
        <v>45990</v>
      </c>
      <c r="P93" s="2" t="n">
        <v>45996</v>
      </c>
      <c r="Q93" t="inlineStr">
        <is>
          <t>Bank Transfer</t>
        </is>
      </c>
      <c r="R93" t="inlineStr">
        <is>
          <t>New</t>
        </is>
      </c>
      <c r="S93" t="n">
        <v>2</v>
      </c>
      <c r="T93" t="inlineStr">
        <is>
          <t xml:space="preserve"> normal </t>
        </is>
      </c>
    </row>
    <row r="94">
      <c r="A94" t="inlineStr">
        <is>
          <t>O0093</t>
        </is>
      </c>
      <c r="B94" s="2" t="n">
        <v>45717</v>
      </c>
      <c r="C94" t="inlineStr">
        <is>
          <t>East</t>
        </is>
      </c>
      <c r="D94" t="inlineStr">
        <is>
          <t>Massachusetts</t>
        </is>
      </c>
      <c r="E94" t="inlineStr">
        <is>
          <t>Neha Joshi</t>
        </is>
      </c>
      <c r="F94" t="inlineStr">
        <is>
          <t xml:space="preserve"> Neha  Joshi </t>
        </is>
      </c>
      <c r="G94" t="inlineStr">
        <is>
          <t>Audio</t>
        </is>
      </c>
      <c r="H94" t="inlineStr">
        <is>
          <t>P108</t>
        </is>
      </c>
      <c r="I94" t="inlineStr">
        <is>
          <t>Buds Pro</t>
        </is>
      </c>
      <c r="J94" t="n">
        <v>15</v>
      </c>
      <c r="K94" s="3" t="n">
        <v>129</v>
      </c>
      <c r="L94" s="4" t="n">
        <v>0.15</v>
      </c>
      <c r="M94" s="3" t="n">
        <v>1644.75</v>
      </c>
      <c r="N94" s="3" t="n">
        <v>500</v>
      </c>
      <c r="O94" s="2" t="n">
        <v>45718</v>
      </c>
      <c r="P94" s="2" t="n">
        <v>45720</v>
      </c>
      <c r="Q94" t="inlineStr">
        <is>
          <t>Cash</t>
        </is>
      </c>
      <c r="R94" t="inlineStr">
        <is>
          <t>Corporate</t>
        </is>
      </c>
      <c r="S94" t="n">
        <v>5</v>
      </c>
      <c r="T94" t="inlineStr">
        <is>
          <t xml:space="preserve">  follow-up  </t>
        </is>
      </c>
    </row>
    <row r="95">
      <c r="A95" t="inlineStr">
        <is>
          <t>O0094</t>
        </is>
      </c>
      <c r="B95" s="2" t="n">
        <v>45708</v>
      </c>
      <c r="C95" t="inlineStr">
        <is>
          <t>West</t>
        </is>
      </c>
      <c r="D95" t="inlineStr">
        <is>
          <t>Texas</t>
        </is>
      </c>
      <c r="E95" t="inlineStr">
        <is>
          <t>Rahul Mehta</t>
        </is>
      </c>
      <c r="F95" t="inlineStr">
        <is>
          <t>Sara Khan</t>
        </is>
      </c>
      <c r="G95" t="inlineStr">
        <is>
          <t>Accessory</t>
        </is>
      </c>
      <c r="H95" t="inlineStr">
        <is>
          <t>P111</t>
        </is>
      </c>
      <c r="I95" t="inlineStr">
        <is>
          <t>Mouse</t>
        </is>
      </c>
      <c r="J95" t="n">
        <v>7</v>
      </c>
      <c r="K95" s="3" t="n">
        <v>39</v>
      </c>
      <c r="L95" s="4" t="n">
        <v>0.05</v>
      </c>
      <c r="M95" s="3" t="n">
        <v>259.35</v>
      </c>
      <c r="N95" s="3" t="n">
        <v>300</v>
      </c>
      <c r="O95" s="2" t="n">
        <v>45712</v>
      </c>
      <c r="P95" s="2" t="n">
        <v>45717</v>
      </c>
      <c r="Q95" t="inlineStr">
        <is>
          <t>UPI</t>
        </is>
      </c>
      <c r="R95" t="inlineStr">
        <is>
          <t>Returning</t>
        </is>
      </c>
      <c r="S95" t="n">
        <v>4</v>
      </c>
      <c r="T95" t="inlineStr">
        <is>
          <t>urgent</t>
        </is>
      </c>
    </row>
    <row r="96">
      <c r="A96" t="inlineStr">
        <is>
          <t>O0095</t>
        </is>
      </c>
      <c r="B96" s="2" t="n">
        <v>45846</v>
      </c>
      <c r="C96" t="inlineStr">
        <is>
          <t>North</t>
        </is>
      </c>
      <c r="D96" t="inlineStr">
        <is>
          <t>Illinois</t>
        </is>
      </c>
      <c r="E96" t="inlineStr">
        <is>
          <t>Priya Patel</t>
        </is>
      </c>
      <c r="F96" t="inlineStr">
        <is>
          <t>PRIYA PATEL</t>
        </is>
      </c>
      <c r="G96" t="inlineStr">
        <is>
          <t>Accessory</t>
        </is>
      </c>
      <c r="H96" t="inlineStr">
        <is>
          <t>P111</t>
        </is>
      </c>
      <c r="I96" t="inlineStr">
        <is>
          <t>Mouse</t>
        </is>
      </c>
      <c r="J96" t="n">
        <v>6</v>
      </c>
      <c r="K96" s="3" t="n">
        <v>39</v>
      </c>
      <c r="L96" s="4" t="n">
        <v>0</v>
      </c>
      <c r="M96" s="3" t="n">
        <v>234</v>
      </c>
      <c r="N96" s="3" t="n">
        <v>1000</v>
      </c>
      <c r="O96" s="2" t="n">
        <v>45851</v>
      </c>
      <c r="P96" s="2" t="n">
        <v>45857</v>
      </c>
      <c r="Q96" t="inlineStr">
        <is>
          <t>Credit Card</t>
        </is>
      </c>
      <c r="R96" t="inlineStr">
        <is>
          <t>Returning</t>
        </is>
      </c>
      <c r="S96" t="n">
        <v>1</v>
      </c>
      <c r="T96" t="inlineStr">
        <is>
          <t>refund pending</t>
        </is>
      </c>
    </row>
    <row r="97">
      <c r="A97" t="inlineStr">
        <is>
          <t>O0096</t>
        </is>
      </c>
      <c r="B97" s="2" t="n">
        <v>45963</v>
      </c>
      <c r="C97" t="inlineStr">
        <is>
          <t>West</t>
        </is>
      </c>
      <c r="D97" t="inlineStr">
        <is>
          <t>Washington</t>
        </is>
      </c>
      <c r="E97" t="inlineStr">
        <is>
          <t>John Smith</t>
        </is>
      </c>
      <c r="F97" t="inlineStr">
        <is>
          <t>rAhUl shAh</t>
        </is>
      </c>
      <c r="G97" t="inlineStr">
        <is>
          <t>Accessory</t>
        </is>
      </c>
      <c r="H97" t="inlineStr">
        <is>
          <t>P111</t>
        </is>
      </c>
      <c r="I97" t="inlineStr">
        <is>
          <t>Mouse</t>
        </is>
      </c>
      <c r="J97" t="n">
        <v>13</v>
      </c>
      <c r="K97" s="3" t="n">
        <v>39</v>
      </c>
      <c r="L97" s="4" t="n">
        <v>0.05</v>
      </c>
      <c r="M97" s="3" t="n">
        <v>481.65</v>
      </c>
      <c r="N97" s="3" t="n">
        <v>500</v>
      </c>
      <c r="O97" s="2" t="n">
        <v>45964</v>
      </c>
      <c r="P97" s="2" t="n">
        <v>45965</v>
      </c>
      <c r="Q97" t="inlineStr">
        <is>
          <t>UPI</t>
        </is>
      </c>
      <c r="R97" t="inlineStr">
        <is>
          <t>New</t>
        </is>
      </c>
      <c r="S97" t="n">
        <v>5</v>
      </c>
      <c r="T97" t="inlineStr">
        <is>
          <t>urgent</t>
        </is>
      </c>
    </row>
    <row r="98">
      <c r="A98" t="inlineStr">
        <is>
          <t>O0097</t>
        </is>
      </c>
      <c r="B98" s="2" t="n">
        <v>45733</v>
      </c>
      <c r="C98" t="inlineStr">
        <is>
          <t>West</t>
        </is>
      </c>
      <c r="D98" t="inlineStr">
        <is>
          <t>California</t>
        </is>
      </c>
      <c r="E98" t="inlineStr">
        <is>
          <t>Rahul Mehta</t>
        </is>
      </c>
      <c r="F98" t="inlineStr">
        <is>
          <t>John Smith</t>
        </is>
      </c>
      <c r="G98" t="inlineStr">
        <is>
          <t>Tablet</t>
        </is>
      </c>
      <c r="H98" t="inlineStr">
        <is>
          <t>P106</t>
        </is>
      </c>
      <c r="I98" t="inlineStr">
        <is>
          <t>Galaxy Tab</t>
        </is>
      </c>
      <c r="J98" t="n">
        <v>5</v>
      </c>
      <c r="K98" s="3" t="n">
        <v>499</v>
      </c>
      <c r="L98" s="4" t="n">
        <v>0.02</v>
      </c>
      <c r="M98" s="3" t="n">
        <v>2445.1</v>
      </c>
      <c r="N98" s="3" t="n">
        <v>500</v>
      </c>
      <c r="O98" s="2" t="n">
        <v>45738</v>
      </c>
      <c r="P98" s="2" t="n">
        <v>45739</v>
      </c>
      <c r="Q98" t="inlineStr">
        <is>
          <t>UPI</t>
        </is>
      </c>
      <c r="R98" t="inlineStr">
        <is>
          <t>New</t>
        </is>
      </c>
      <c r="S98" t="n">
        <v>1</v>
      </c>
      <c r="T98" t="inlineStr">
        <is>
          <t>urgent</t>
        </is>
      </c>
    </row>
    <row r="99">
      <c r="A99" t="inlineStr">
        <is>
          <t>O0098</t>
        </is>
      </c>
      <c r="B99" s="2" t="n">
        <v>45959</v>
      </c>
      <c r="C99" t="inlineStr">
        <is>
          <t>East</t>
        </is>
      </c>
      <c r="D99" t="inlineStr">
        <is>
          <t>Massachusetts</t>
        </is>
      </c>
      <c r="E99" t="inlineStr">
        <is>
          <t>Sara Khan</t>
        </is>
      </c>
      <c r="F99" t="inlineStr">
        <is>
          <t>rAhUl shAh</t>
        </is>
      </c>
      <c r="G99" t="inlineStr">
        <is>
          <t>Laptop</t>
        </is>
      </c>
      <c r="H99" t="inlineStr">
        <is>
          <t>P104</t>
        </is>
      </c>
      <c r="I99" t="inlineStr">
        <is>
          <t>Inspiron 15</t>
        </is>
      </c>
      <c r="J99" t="n">
        <v>3</v>
      </c>
      <c r="K99" s="3" t="n">
        <v>749</v>
      </c>
      <c r="L99" s="4" t="n">
        <v>0.05</v>
      </c>
      <c r="M99" s="3" t="n">
        <v>2134.65</v>
      </c>
      <c r="N99" s="3" t="n">
        <v>300</v>
      </c>
      <c r="O99" s="2" t="n">
        <v>45962</v>
      </c>
      <c r="P99" s="2" t="n">
        <v>45963</v>
      </c>
      <c r="Q99" t="inlineStr">
        <is>
          <t>Bank Transfer</t>
        </is>
      </c>
      <c r="R99" t="inlineStr">
        <is>
          <t>Corporate</t>
        </is>
      </c>
      <c r="S99" t="n">
        <v>1</v>
      </c>
      <c r="T99" t="inlineStr">
        <is>
          <t>refund pending</t>
        </is>
      </c>
    </row>
    <row r="100">
      <c r="A100" t="inlineStr">
        <is>
          <t>O0099</t>
        </is>
      </c>
      <c r="B100" s="2" t="n">
        <v>45843</v>
      </c>
      <c r="C100" t="inlineStr">
        <is>
          <t>East</t>
        </is>
      </c>
      <c r="D100" t="inlineStr">
        <is>
          <t>Massachusetts</t>
        </is>
      </c>
      <c r="E100" t="inlineStr">
        <is>
          <t>John Smith</t>
        </is>
      </c>
      <c r="F100" t="inlineStr">
        <is>
          <t>rAhUl shAh</t>
        </is>
      </c>
      <c r="G100" t="inlineStr">
        <is>
          <t>Audio</t>
        </is>
      </c>
      <c r="H100" t="inlineStr">
        <is>
          <t>P108</t>
        </is>
      </c>
      <c r="I100" t="inlineStr">
        <is>
          <t>Buds Pro</t>
        </is>
      </c>
      <c r="J100" t="n">
        <v>2</v>
      </c>
      <c r="K100" s="3" t="n">
        <v>129</v>
      </c>
      <c r="L100" s="4" t="n">
        <v>0.1</v>
      </c>
      <c r="M100" s="3" t="n">
        <v>232.2</v>
      </c>
      <c r="N100" s="3" t="n">
        <v>1500</v>
      </c>
      <c r="O100" s="2" t="n">
        <v>45848</v>
      </c>
      <c r="P100" s="2" t="n">
        <v>45853</v>
      </c>
      <c r="Q100" t="inlineStr">
        <is>
          <t>Credit Card</t>
        </is>
      </c>
      <c r="R100" t="inlineStr">
        <is>
          <t>Corporate</t>
        </is>
      </c>
      <c r="S100" t="n">
        <v>5</v>
      </c>
      <c r="T100" t="inlineStr">
        <is>
          <t>ok</t>
        </is>
      </c>
    </row>
    <row r="101">
      <c r="A101" t="inlineStr">
        <is>
          <t>O0100</t>
        </is>
      </c>
      <c r="B101" s="2" t="n">
        <v>45689</v>
      </c>
      <c r="C101" t="inlineStr">
        <is>
          <t>South</t>
        </is>
      </c>
      <c r="D101" t="inlineStr">
        <is>
          <t>Texas</t>
        </is>
      </c>
      <c r="E101" t="inlineStr">
        <is>
          <t>Neha Joshi</t>
        </is>
      </c>
      <c r="F101" t="inlineStr">
        <is>
          <t xml:space="preserve"> Rahul Shah </t>
        </is>
      </c>
      <c r="G101" t="inlineStr">
        <is>
          <t>Mobile</t>
        </is>
      </c>
      <c r="H101" t="inlineStr">
        <is>
          <t>P101</t>
        </is>
      </c>
      <c r="I101" t="inlineStr">
        <is>
          <t>iPhone 15</t>
        </is>
      </c>
      <c r="J101" t="n">
        <v>7</v>
      </c>
      <c r="K101" s="3" t="n">
        <v>699</v>
      </c>
      <c r="L101" s="4" t="n">
        <v>0.1</v>
      </c>
      <c r="M101" s="3" t="n">
        <v>4403.7</v>
      </c>
      <c r="N101" s="3" t="n">
        <v>2500</v>
      </c>
      <c r="O101" s="2" t="n">
        <v>45693</v>
      </c>
      <c r="P101" s="2" t="n">
        <v>45700</v>
      </c>
      <c r="Q101" t="inlineStr">
        <is>
          <t>Bank Transfer</t>
        </is>
      </c>
      <c r="R101" t="inlineStr">
        <is>
          <t>New</t>
        </is>
      </c>
      <c r="S101" t="n">
        <v>1</v>
      </c>
      <c r="T101" t="inlineStr">
        <is>
          <t>ok</t>
        </is>
      </c>
    </row>
    <row r="102">
      <c r="A102" t="inlineStr">
        <is>
          <t>O0101</t>
        </is>
      </c>
      <c r="B102" s="2" t="n">
        <v>45798</v>
      </c>
      <c r="C102" t="inlineStr">
        <is>
          <t>West</t>
        </is>
      </c>
      <c r="D102" t="inlineStr">
        <is>
          <t>California</t>
        </is>
      </c>
      <c r="E102" t="inlineStr">
        <is>
          <t>Neha Joshi</t>
        </is>
      </c>
      <c r="F102" t="inlineStr">
        <is>
          <t>PRIYA PATEL</t>
        </is>
      </c>
      <c r="G102" t="inlineStr">
        <is>
          <t>Laptop</t>
        </is>
      </c>
      <c r="H102" t="inlineStr">
        <is>
          <t>P103</t>
        </is>
      </c>
      <c r="I102" t="inlineStr">
        <is>
          <t>ThinkPad E14</t>
        </is>
      </c>
      <c r="J102" t="n">
        <v>10</v>
      </c>
      <c r="K102" s="3" t="n">
        <v>899</v>
      </c>
      <c r="L102" s="4" t="n">
        <v>0.15</v>
      </c>
      <c r="M102" s="3" t="n">
        <v>7641.5</v>
      </c>
      <c r="N102" s="3" t="n">
        <v>2500</v>
      </c>
      <c r="O102" s="2" t="n">
        <v>45803</v>
      </c>
      <c r="P102" s="2" t="n">
        <v>45809</v>
      </c>
      <c r="Q102" t="inlineStr">
        <is>
          <t>Cash</t>
        </is>
      </c>
      <c r="R102" t="inlineStr">
        <is>
          <t>Returning</t>
        </is>
      </c>
      <c r="S102" t="n">
        <v>5</v>
      </c>
      <c r="T102" t="inlineStr">
        <is>
          <t>NORMAL</t>
        </is>
      </c>
    </row>
    <row r="103">
      <c r="A103" t="inlineStr">
        <is>
          <t>O0102</t>
        </is>
      </c>
      <c r="B103" s="2" t="n">
        <v>45716</v>
      </c>
      <c r="C103" t="inlineStr">
        <is>
          <t>South</t>
        </is>
      </c>
      <c r="D103" t="inlineStr">
        <is>
          <t>Florida</t>
        </is>
      </c>
      <c r="E103" t="inlineStr">
        <is>
          <t>Priya Patel</t>
        </is>
      </c>
      <c r="F103" t="inlineStr">
        <is>
          <t xml:space="preserve"> Neha  Joshi </t>
        </is>
      </c>
      <c r="G103" t="inlineStr">
        <is>
          <t>Accessory</t>
        </is>
      </c>
      <c r="H103" t="inlineStr">
        <is>
          <t>P112</t>
        </is>
      </c>
      <c r="I103" t="inlineStr">
        <is>
          <t>PowerBank</t>
        </is>
      </c>
      <c r="J103" t="n">
        <v>14</v>
      </c>
      <c r="K103" s="3" t="n">
        <v>49</v>
      </c>
      <c r="L103" s="4" t="n">
        <v>0.02</v>
      </c>
      <c r="M103" s="3" t="n">
        <v>672.28</v>
      </c>
      <c r="N103" s="3" t="n">
        <v>1000</v>
      </c>
      <c r="O103" s="2" t="n">
        <v>45721</v>
      </c>
      <c r="P103" s="2" t="n">
        <v>45727</v>
      </c>
      <c r="Q103" t="inlineStr">
        <is>
          <t>Bank Transfer</t>
        </is>
      </c>
      <c r="R103" t="inlineStr">
        <is>
          <t>Returning</t>
        </is>
      </c>
      <c r="S103" t="n">
        <v>4</v>
      </c>
      <c r="T103" t="inlineStr">
        <is>
          <t xml:space="preserve">  follow-up  </t>
        </is>
      </c>
    </row>
    <row r="104">
      <c r="A104" t="inlineStr">
        <is>
          <t>O0103</t>
        </is>
      </c>
      <c r="B104" s="2" t="n">
        <v>45818</v>
      </c>
      <c r="C104" t="inlineStr">
        <is>
          <t>South</t>
        </is>
      </c>
      <c r="D104" t="inlineStr">
        <is>
          <t>Texas</t>
        </is>
      </c>
      <c r="E104" t="inlineStr">
        <is>
          <t>Sara Khan</t>
        </is>
      </c>
      <c r="F104" t="inlineStr">
        <is>
          <t>rAhUl shAh</t>
        </is>
      </c>
      <c r="G104" t="inlineStr">
        <is>
          <t>Mobile</t>
        </is>
      </c>
      <c r="H104" t="inlineStr">
        <is>
          <t>P102</t>
        </is>
      </c>
      <c r="I104" t="inlineStr">
        <is>
          <t>Galaxy S24</t>
        </is>
      </c>
      <c r="J104" t="n">
        <v>11</v>
      </c>
      <c r="K104" s="3" t="n">
        <v>799</v>
      </c>
      <c r="L104" s="4" t="n">
        <v>0.05</v>
      </c>
      <c r="M104" s="3" t="n">
        <v>8349.549999999999</v>
      </c>
      <c r="N104" s="3" t="n">
        <v>750</v>
      </c>
      <c r="O104" s="2" t="n">
        <v>45822</v>
      </c>
      <c r="P104" s="2" t="n">
        <v>45825</v>
      </c>
      <c r="Q104" t="inlineStr">
        <is>
          <t>Bank Transfer</t>
        </is>
      </c>
      <c r="R104" t="inlineStr">
        <is>
          <t>New</t>
        </is>
      </c>
      <c r="S104" t="n">
        <v>1</v>
      </c>
      <c r="T104" t="inlineStr"/>
    </row>
    <row r="105">
      <c r="A105" t="inlineStr">
        <is>
          <t>O0104</t>
        </is>
      </c>
      <c r="B105" s="2" t="n">
        <v>45707</v>
      </c>
      <c r="C105" t="inlineStr">
        <is>
          <t>East</t>
        </is>
      </c>
      <c r="D105" t="inlineStr">
        <is>
          <t>New York</t>
        </is>
      </c>
      <c r="E105" t="inlineStr">
        <is>
          <t>John Smith</t>
        </is>
      </c>
      <c r="F105" t="inlineStr">
        <is>
          <t>John Smith</t>
        </is>
      </c>
      <c r="G105" t="inlineStr">
        <is>
          <t>Audio</t>
        </is>
      </c>
      <c r="H105" t="inlineStr">
        <is>
          <t>P107</t>
        </is>
      </c>
      <c r="I105" t="inlineStr">
        <is>
          <t>AirPods</t>
        </is>
      </c>
      <c r="J105" t="n">
        <v>3</v>
      </c>
      <c r="K105" s="3" t="n">
        <v>179</v>
      </c>
      <c r="L105" s="4" t="n">
        <v>0.15</v>
      </c>
      <c r="M105" s="3" t="n">
        <v>456.45</v>
      </c>
      <c r="N105" s="3" t="n">
        <v>300</v>
      </c>
      <c r="O105" s="2" t="n">
        <v>45710</v>
      </c>
      <c r="P105" s="2" t="n">
        <v>45717</v>
      </c>
      <c r="Q105" t="inlineStr">
        <is>
          <t>Cash</t>
        </is>
      </c>
      <c r="R105" t="inlineStr">
        <is>
          <t>Corporate</t>
        </is>
      </c>
      <c r="S105" t="n">
        <v>1</v>
      </c>
      <c r="T105" t="inlineStr">
        <is>
          <t xml:space="preserve">  follow-up  </t>
        </is>
      </c>
    </row>
    <row r="106">
      <c r="A106" t="inlineStr">
        <is>
          <t>O0105</t>
        </is>
      </c>
      <c r="B106" s="2" t="n">
        <v>45684</v>
      </c>
      <c r="C106" t="inlineStr">
        <is>
          <t>North</t>
        </is>
      </c>
      <c r="D106" t="inlineStr">
        <is>
          <t>Minnesota</t>
        </is>
      </c>
      <c r="E106" t="inlineStr">
        <is>
          <t>John Smith</t>
        </is>
      </c>
      <c r="F106" t="inlineStr">
        <is>
          <t>John Smith</t>
        </is>
      </c>
      <c r="G106" t="inlineStr">
        <is>
          <t>Audio</t>
        </is>
      </c>
      <c r="H106" t="inlineStr">
        <is>
          <t>P107</t>
        </is>
      </c>
      <c r="I106" t="inlineStr">
        <is>
          <t>AirPods</t>
        </is>
      </c>
      <c r="J106" t="n">
        <v>5</v>
      </c>
      <c r="K106" s="3" t="n">
        <v>179</v>
      </c>
      <c r="L106" s="4" t="n">
        <v>0.05</v>
      </c>
      <c r="M106" s="3" t="n">
        <v>850.25</v>
      </c>
      <c r="N106" s="3" t="n">
        <v>300</v>
      </c>
      <c r="O106" s="2" t="n">
        <v>45687</v>
      </c>
      <c r="P106" s="2" t="n">
        <v>45692</v>
      </c>
      <c r="Q106" t="inlineStr">
        <is>
          <t>UPI</t>
        </is>
      </c>
      <c r="R106" t="inlineStr">
        <is>
          <t>New</t>
        </is>
      </c>
      <c r="S106" t="n">
        <v>4</v>
      </c>
      <c r="T106" t="inlineStr">
        <is>
          <t>urgent</t>
        </is>
      </c>
    </row>
    <row r="107">
      <c r="A107" t="inlineStr">
        <is>
          <t>O0106</t>
        </is>
      </c>
      <c r="B107" s="2" t="n">
        <v>45846</v>
      </c>
      <c r="C107" t="inlineStr">
        <is>
          <t>East</t>
        </is>
      </c>
      <c r="D107" t="inlineStr">
        <is>
          <t>Massachusetts</t>
        </is>
      </c>
      <c r="E107" t="inlineStr">
        <is>
          <t>John Smith</t>
        </is>
      </c>
      <c r="F107" t="inlineStr">
        <is>
          <t xml:space="preserve"> Neha  Joshi </t>
        </is>
      </c>
      <c r="G107" t="inlineStr">
        <is>
          <t>Monitor</t>
        </is>
      </c>
      <c r="H107" t="inlineStr">
        <is>
          <t>P109</t>
        </is>
      </c>
      <c r="I107" t="inlineStr">
        <is>
          <t>Monitor 24</t>
        </is>
      </c>
      <c r="J107" t="n">
        <v>5</v>
      </c>
      <c r="K107" s="3" t="n">
        <v>229</v>
      </c>
      <c r="L107" s="4" t="n">
        <v>0.15</v>
      </c>
      <c r="M107" s="3" t="n">
        <v>973.25</v>
      </c>
      <c r="N107" s="3" t="n">
        <v>500</v>
      </c>
      <c r="O107" s="2" t="n">
        <v>45847</v>
      </c>
      <c r="P107" s="2" t="n">
        <v>45854</v>
      </c>
      <c r="Q107" t="inlineStr">
        <is>
          <t>Credit Card</t>
        </is>
      </c>
      <c r="R107" t="inlineStr">
        <is>
          <t>Corporate</t>
        </is>
      </c>
      <c r="S107" t="n">
        <v>3</v>
      </c>
      <c r="T107" t="inlineStr">
        <is>
          <t xml:space="preserve"> normal </t>
        </is>
      </c>
    </row>
    <row r="108">
      <c r="A108" t="inlineStr">
        <is>
          <t>O0107</t>
        </is>
      </c>
      <c r="B108" s="2" t="n">
        <v>45816</v>
      </c>
      <c r="C108" t="inlineStr">
        <is>
          <t>West</t>
        </is>
      </c>
      <c r="D108" t="inlineStr">
        <is>
          <t>Texas</t>
        </is>
      </c>
      <c r="E108" t="inlineStr">
        <is>
          <t>John Smith</t>
        </is>
      </c>
      <c r="F108" t="inlineStr">
        <is>
          <t>rAhUl shAh</t>
        </is>
      </c>
      <c r="G108" t="inlineStr">
        <is>
          <t>Accessory</t>
        </is>
      </c>
      <c r="H108" t="inlineStr">
        <is>
          <t>P112</t>
        </is>
      </c>
      <c r="I108" t="inlineStr">
        <is>
          <t>PowerBank</t>
        </is>
      </c>
      <c r="J108" t="n">
        <v>1</v>
      </c>
      <c r="K108" s="3" t="n">
        <v>49</v>
      </c>
      <c r="L108" s="4" t="n">
        <v>0.02</v>
      </c>
      <c r="M108" s="3" t="n">
        <v>48.02</v>
      </c>
      <c r="N108" s="3" t="n">
        <v>5000</v>
      </c>
      <c r="O108" s="2" t="n">
        <v>45819</v>
      </c>
      <c r="P108" s="2" t="n">
        <v>45822</v>
      </c>
      <c r="Q108" t="inlineStr">
        <is>
          <t>Bank Transfer</t>
        </is>
      </c>
      <c r="R108" t="inlineStr">
        <is>
          <t>New</t>
        </is>
      </c>
      <c r="S108" t="n">
        <v>2</v>
      </c>
      <c r="T108" t="inlineStr">
        <is>
          <t>refund pending</t>
        </is>
      </c>
    </row>
    <row r="109">
      <c r="A109" t="inlineStr">
        <is>
          <t>O0108</t>
        </is>
      </c>
      <c r="B109" s="2" t="n">
        <v>45929</v>
      </c>
      <c r="C109" t="inlineStr">
        <is>
          <t>East</t>
        </is>
      </c>
      <c r="D109" t="inlineStr">
        <is>
          <t>New York</t>
        </is>
      </c>
      <c r="E109" t="inlineStr">
        <is>
          <t>Rahul Mehta</t>
        </is>
      </c>
      <c r="F109" t="inlineStr">
        <is>
          <t>rAhUl shAh</t>
        </is>
      </c>
      <c r="G109" t="inlineStr">
        <is>
          <t>Accessory</t>
        </is>
      </c>
      <c r="H109" t="inlineStr">
        <is>
          <t>P112</t>
        </is>
      </c>
      <c r="I109" t="inlineStr">
        <is>
          <t>PowerBank</t>
        </is>
      </c>
      <c r="J109" t="n">
        <v>7</v>
      </c>
      <c r="K109" s="3" t="n">
        <v>49</v>
      </c>
      <c r="L109" s="4" t="n">
        <v>0.1</v>
      </c>
      <c r="M109" s="3" t="n">
        <v>308.7</v>
      </c>
      <c r="N109" s="3" t="n">
        <v>750</v>
      </c>
      <c r="O109" s="2" t="n">
        <v>45931</v>
      </c>
      <c r="P109" s="2" t="n">
        <v>45935</v>
      </c>
      <c r="Q109" t="inlineStr">
        <is>
          <t>Cash</t>
        </is>
      </c>
      <c r="R109" t="inlineStr">
        <is>
          <t>Corporate</t>
        </is>
      </c>
      <c r="S109" t="n">
        <v>3</v>
      </c>
      <c r="T109" t="inlineStr"/>
    </row>
    <row r="110">
      <c r="A110" t="inlineStr">
        <is>
          <t>O0109</t>
        </is>
      </c>
      <c r="B110" s="2" t="n">
        <v>45738</v>
      </c>
      <c r="C110" t="inlineStr">
        <is>
          <t>East</t>
        </is>
      </c>
      <c r="D110" t="inlineStr">
        <is>
          <t>New York</t>
        </is>
      </c>
      <c r="E110" t="inlineStr">
        <is>
          <t>Sara Khan</t>
        </is>
      </c>
      <c r="F110" t="inlineStr">
        <is>
          <t xml:space="preserve"> Neha  Joshi </t>
        </is>
      </c>
      <c r="G110" t="inlineStr">
        <is>
          <t>Laptop</t>
        </is>
      </c>
      <c r="H110" t="inlineStr">
        <is>
          <t>P103</t>
        </is>
      </c>
      <c r="I110" t="inlineStr">
        <is>
          <t>ThinkPad E14</t>
        </is>
      </c>
      <c r="J110" t="n">
        <v>11</v>
      </c>
      <c r="K110" s="3" t="n">
        <v>899</v>
      </c>
      <c r="L110" s="4" t="n">
        <v>0</v>
      </c>
      <c r="M110" s="3" t="n">
        <v>9889</v>
      </c>
      <c r="N110" s="3" t="n">
        <v>750</v>
      </c>
      <c r="O110" s="2" t="n">
        <v>45743</v>
      </c>
      <c r="P110" s="2" t="n">
        <v>45744</v>
      </c>
      <c r="Q110" t="inlineStr">
        <is>
          <t>Bank Transfer</t>
        </is>
      </c>
      <c r="R110" t="inlineStr">
        <is>
          <t>Returning</t>
        </is>
      </c>
      <c r="S110" t="n">
        <v>5</v>
      </c>
      <c r="T110" t="inlineStr">
        <is>
          <t xml:space="preserve">  follow-up  </t>
        </is>
      </c>
    </row>
    <row r="111">
      <c r="A111" t="inlineStr">
        <is>
          <t>O0110</t>
        </is>
      </c>
      <c r="B111" s="2" t="n">
        <v>45920</v>
      </c>
      <c r="C111" t="inlineStr">
        <is>
          <t>South</t>
        </is>
      </c>
      <c r="D111" t="inlineStr">
        <is>
          <t>Georgia</t>
        </is>
      </c>
      <c r="E111" t="inlineStr">
        <is>
          <t>Sara Khan</t>
        </is>
      </c>
      <c r="F111" t="inlineStr">
        <is>
          <t>Sara Khan</t>
        </is>
      </c>
      <c r="G111" t="inlineStr">
        <is>
          <t>Laptop</t>
        </is>
      </c>
      <c r="H111" t="inlineStr">
        <is>
          <t>P104</t>
        </is>
      </c>
      <c r="I111" t="inlineStr">
        <is>
          <t>Inspiron 15</t>
        </is>
      </c>
      <c r="J111" t="n">
        <v>7</v>
      </c>
      <c r="K111" s="3" t="n">
        <v>749</v>
      </c>
      <c r="L111" s="4" t="n">
        <v>0</v>
      </c>
      <c r="M111" s="3" t="n">
        <v>5243</v>
      </c>
      <c r="N111" s="3" t="n">
        <v>750</v>
      </c>
      <c r="O111" s="2" t="n">
        <v>45921</v>
      </c>
      <c r="P111" s="2" t="n">
        <v>45924</v>
      </c>
      <c r="Q111" t="inlineStr">
        <is>
          <t>Bank Transfer</t>
        </is>
      </c>
      <c r="R111" t="inlineStr">
        <is>
          <t>Corporate</t>
        </is>
      </c>
      <c r="S111" t="n">
        <v>3</v>
      </c>
      <c r="T111" t="inlineStr">
        <is>
          <t xml:space="preserve"> normal </t>
        </is>
      </c>
    </row>
    <row r="112">
      <c r="A112" t="inlineStr">
        <is>
          <t>O0111</t>
        </is>
      </c>
      <c r="B112" s="2" t="n">
        <v>45686</v>
      </c>
      <c r="C112" t="inlineStr">
        <is>
          <t>West</t>
        </is>
      </c>
      <c r="D112" t="inlineStr">
        <is>
          <t>Texas</t>
        </is>
      </c>
      <c r="E112" t="inlineStr">
        <is>
          <t>Rahul Mehta</t>
        </is>
      </c>
      <c r="F112" t="inlineStr">
        <is>
          <t xml:space="preserve">rAhUl shAh </t>
        </is>
      </c>
      <c r="G112" t="inlineStr">
        <is>
          <t>Accessory</t>
        </is>
      </c>
      <c r="H112" t="inlineStr">
        <is>
          <t>P110</t>
        </is>
      </c>
      <c r="I112" t="inlineStr">
        <is>
          <t>Keyboard</t>
        </is>
      </c>
      <c r="J112" t="n">
        <v>5</v>
      </c>
      <c r="K112" s="3" t="n">
        <v>59</v>
      </c>
      <c r="L112" s="4" t="n">
        <v>0.02</v>
      </c>
      <c r="M112" s="3" t="n">
        <v>289.1</v>
      </c>
      <c r="N112" s="3" t="n">
        <v>5000</v>
      </c>
      <c r="O112" s="2" t="n">
        <v>45687</v>
      </c>
      <c r="P112" s="2" t="n">
        <v>45689</v>
      </c>
      <c r="Q112" t="inlineStr">
        <is>
          <t>Cash</t>
        </is>
      </c>
      <c r="R112" t="inlineStr">
        <is>
          <t>Returning</t>
        </is>
      </c>
      <c r="S112" t="n">
        <v>1</v>
      </c>
      <c r="T112" t="inlineStr">
        <is>
          <t xml:space="preserve"> normal </t>
        </is>
      </c>
    </row>
    <row r="113">
      <c r="A113" t="inlineStr">
        <is>
          <t>O0112</t>
        </is>
      </c>
      <c r="B113" s="2" t="n">
        <v>45747</v>
      </c>
      <c r="C113" t="inlineStr">
        <is>
          <t>South</t>
        </is>
      </c>
      <c r="D113" t="inlineStr">
        <is>
          <t>Texas</t>
        </is>
      </c>
      <c r="E113" t="inlineStr">
        <is>
          <t>Sara Khan</t>
        </is>
      </c>
      <c r="F113" t="inlineStr">
        <is>
          <t>John Smith</t>
        </is>
      </c>
      <c r="G113" t="inlineStr">
        <is>
          <t>Audio</t>
        </is>
      </c>
      <c r="H113" t="inlineStr">
        <is>
          <t>P107</t>
        </is>
      </c>
      <c r="I113" t="inlineStr">
        <is>
          <t>AirPods</t>
        </is>
      </c>
      <c r="J113" t="n">
        <v>9</v>
      </c>
      <c r="K113" s="3" t="n">
        <v>179</v>
      </c>
      <c r="L113" s="4" t="n">
        <v>0.02</v>
      </c>
      <c r="M113" s="3" t="n">
        <v>1578.78</v>
      </c>
      <c r="N113" s="3" t="n">
        <v>1500</v>
      </c>
      <c r="O113" s="2" t="n">
        <v>45749</v>
      </c>
      <c r="P113" s="2" t="n">
        <v>45753</v>
      </c>
      <c r="Q113" t="inlineStr">
        <is>
          <t>Cash</t>
        </is>
      </c>
      <c r="R113" t="inlineStr">
        <is>
          <t>New</t>
        </is>
      </c>
      <c r="S113" t="n">
        <v>4</v>
      </c>
      <c r="T113" t="inlineStr"/>
    </row>
    <row r="114">
      <c r="A114" t="inlineStr">
        <is>
          <t>O0113</t>
        </is>
      </c>
      <c r="B114" s="2" t="n">
        <v>45893</v>
      </c>
      <c r="C114" t="inlineStr">
        <is>
          <t>East</t>
        </is>
      </c>
      <c r="D114" t="inlineStr">
        <is>
          <t>Massachusetts</t>
        </is>
      </c>
      <c r="E114" t="inlineStr">
        <is>
          <t>Neha Joshi</t>
        </is>
      </c>
      <c r="F114" t="inlineStr">
        <is>
          <t>John Smith</t>
        </is>
      </c>
      <c r="G114" t="inlineStr">
        <is>
          <t>Mobile</t>
        </is>
      </c>
      <c r="H114" t="inlineStr">
        <is>
          <t>P101</t>
        </is>
      </c>
      <c r="I114" t="inlineStr">
        <is>
          <t>iPhone 15</t>
        </is>
      </c>
      <c r="J114" t="n">
        <v>6</v>
      </c>
      <c r="K114" s="3" t="n">
        <v>699</v>
      </c>
      <c r="L114" s="4" t="n">
        <v>0.15</v>
      </c>
      <c r="M114" s="3" t="n">
        <v>3564.9</v>
      </c>
      <c r="N114" s="3" t="n">
        <v>1000</v>
      </c>
      <c r="O114" s="2" t="n">
        <v>45894</v>
      </c>
      <c r="P114" s="2" t="n">
        <v>45901</v>
      </c>
      <c r="Q114" t="inlineStr">
        <is>
          <t>Bank Transfer</t>
        </is>
      </c>
      <c r="R114" t="inlineStr">
        <is>
          <t>Returning</t>
        </is>
      </c>
      <c r="S114" t="n">
        <v>1</v>
      </c>
      <c r="T114" t="inlineStr">
        <is>
          <t xml:space="preserve">  follow-up  </t>
        </is>
      </c>
    </row>
    <row r="115">
      <c r="A115" t="inlineStr">
        <is>
          <t>O0114</t>
        </is>
      </c>
      <c r="B115" s="2" t="n">
        <v>45974</v>
      </c>
      <c r="C115" t="inlineStr">
        <is>
          <t>East</t>
        </is>
      </c>
      <c r="D115" t="inlineStr">
        <is>
          <t>Massachusetts</t>
        </is>
      </c>
      <c r="E115" t="inlineStr">
        <is>
          <t>Amit Shah</t>
        </is>
      </c>
      <c r="F115" t="inlineStr">
        <is>
          <t xml:space="preserve"> Neha  Joshi </t>
        </is>
      </c>
      <c r="G115" t="inlineStr">
        <is>
          <t>Laptop</t>
        </is>
      </c>
      <c r="H115" t="inlineStr">
        <is>
          <t>P103</t>
        </is>
      </c>
      <c r="I115" t="inlineStr">
        <is>
          <t>ThinkPad E14</t>
        </is>
      </c>
      <c r="J115" t="n">
        <v>12</v>
      </c>
      <c r="K115" s="3" t="n">
        <v>899</v>
      </c>
      <c r="L115" s="4" t="n">
        <v>0.05</v>
      </c>
      <c r="M115" s="3" t="n">
        <v>10248.6</v>
      </c>
      <c r="N115" s="3" t="n">
        <v>300</v>
      </c>
      <c r="O115" s="2" t="n">
        <v>45978</v>
      </c>
      <c r="P115" s="2" t="n">
        <v>45985</v>
      </c>
      <c r="Q115" t="inlineStr">
        <is>
          <t>UPI</t>
        </is>
      </c>
      <c r="R115" t="inlineStr">
        <is>
          <t>Returning</t>
        </is>
      </c>
      <c r="S115" t="n">
        <v>5</v>
      </c>
      <c r="T115" t="inlineStr">
        <is>
          <t xml:space="preserve">  follow-up  </t>
        </is>
      </c>
    </row>
    <row r="116">
      <c r="A116" t="inlineStr">
        <is>
          <t>O0115</t>
        </is>
      </c>
      <c r="B116" s="2" t="n">
        <v>45831</v>
      </c>
      <c r="C116" t="inlineStr">
        <is>
          <t>East</t>
        </is>
      </c>
      <c r="D116" t="inlineStr">
        <is>
          <t>Massachusetts</t>
        </is>
      </c>
      <c r="E116" t="inlineStr">
        <is>
          <t>Sara Khan</t>
        </is>
      </c>
      <c r="F116" t="inlineStr">
        <is>
          <t>John Smith</t>
        </is>
      </c>
      <c r="G116" t="inlineStr">
        <is>
          <t>Tablet</t>
        </is>
      </c>
      <c r="H116" t="inlineStr">
        <is>
          <t>P105</t>
        </is>
      </c>
      <c r="I116" t="inlineStr">
        <is>
          <t>iPad Air</t>
        </is>
      </c>
      <c r="J116" t="n">
        <v>13</v>
      </c>
      <c r="K116" s="3" t="n">
        <v>599</v>
      </c>
      <c r="L116" s="4" t="n">
        <v>0.02</v>
      </c>
      <c r="M116" s="3" t="n">
        <v>7631.26</v>
      </c>
      <c r="N116" s="3" t="n">
        <v>300</v>
      </c>
      <c r="O116" s="2" t="n">
        <v>45833</v>
      </c>
      <c r="P116" s="2" t="n">
        <v>45836</v>
      </c>
      <c r="Q116" t="inlineStr">
        <is>
          <t>Credit Card</t>
        </is>
      </c>
      <c r="R116" t="inlineStr">
        <is>
          <t>Corporate</t>
        </is>
      </c>
      <c r="S116" t="n">
        <v>5</v>
      </c>
      <c r="T116" t="inlineStr">
        <is>
          <t>urgent</t>
        </is>
      </c>
    </row>
    <row r="117">
      <c r="A117" t="inlineStr">
        <is>
          <t>O0116</t>
        </is>
      </c>
      <c r="B117" s="2" t="n">
        <v>45988</v>
      </c>
      <c r="C117" t="inlineStr">
        <is>
          <t>North</t>
        </is>
      </c>
      <c r="D117" t="inlineStr">
        <is>
          <t>Michigan</t>
        </is>
      </c>
      <c r="E117" t="inlineStr">
        <is>
          <t>Priya Patel</t>
        </is>
      </c>
      <c r="F117" t="inlineStr">
        <is>
          <t>rAhUl shAh</t>
        </is>
      </c>
      <c r="G117" t="inlineStr">
        <is>
          <t>Accessory</t>
        </is>
      </c>
      <c r="H117" t="inlineStr">
        <is>
          <t>P112</t>
        </is>
      </c>
      <c r="I117" t="inlineStr">
        <is>
          <t>PowerBank</t>
        </is>
      </c>
      <c r="J117" t="n">
        <v>2</v>
      </c>
      <c r="K117" s="3" t="n">
        <v>49</v>
      </c>
      <c r="L117" s="4" t="n">
        <v>0.02</v>
      </c>
      <c r="M117" s="3" t="n">
        <v>96.04000000000001</v>
      </c>
      <c r="N117" s="3" t="n">
        <v>750</v>
      </c>
      <c r="O117" s="2" t="n">
        <v>45990</v>
      </c>
      <c r="P117" s="2" t="n">
        <v>45992</v>
      </c>
      <c r="Q117" t="inlineStr">
        <is>
          <t>UPI</t>
        </is>
      </c>
      <c r="R117" t="inlineStr">
        <is>
          <t>Corporate</t>
        </is>
      </c>
      <c r="S117" t="n">
        <v>1</v>
      </c>
      <c r="T117" t="inlineStr">
        <is>
          <t>urgent</t>
        </is>
      </c>
    </row>
    <row r="118">
      <c r="A118" t="inlineStr">
        <is>
          <t>O0117</t>
        </is>
      </c>
      <c r="B118" s="2" t="n">
        <v>45954</v>
      </c>
      <c r="C118" t="inlineStr">
        <is>
          <t>South</t>
        </is>
      </c>
      <c r="D118" t="inlineStr">
        <is>
          <t>Georgia</t>
        </is>
      </c>
      <c r="E118" t="inlineStr">
        <is>
          <t>John Smith</t>
        </is>
      </c>
      <c r="F118" t="inlineStr">
        <is>
          <t>Sara Khan</t>
        </is>
      </c>
      <c r="G118" t="inlineStr">
        <is>
          <t>Accessory</t>
        </is>
      </c>
      <c r="H118" t="inlineStr">
        <is>
          <t>P110</t>
        </is>
      </c>
      <c r="I118" t="inlineStr">
        <is>
          <t>Keyboard</t>
        </is>
      </c>
      <c r="J118" t="n">
        <v>15</v>
      </c>
      <c r="K118" s="3" t="n">
        <v>59</v>
      </c>
      <c r="L118" s="4" t="n">
        <v>0.15</v>
      </c>
      <c r="M118" s="3" t="n">
        <v>752.25</v>
      </c>
      <c r="N118" s="3" t="n">
        <v>2500</v>
      </c>
      <c r="O118" s="2" t="n">
        <v>45958</v>
      </c>
      <c r="P118" s="2" t="n">
        <v>45964</v>
      </c>
      <c r="Q118" t="inlineStr">
        <is>
          <t>Cash</t>
        </is>
      </c>
      <c r="R118" t="inlineStr">
        <is>
          <t>Corporate</t>
        </is>
      </c>
      <c r="S118" t="n">
        <v>3</v>
      </c>
      <c r="T118" t="inlineStr">
        <is>
          <t>urgent</t>
        </is>
      </c>
    </row>
    <row r="119">
      <c r="A119" t="inlineStr">
        <is>
          <t>O0118</t>
        </is>
      </c>
      <c r="B119" s="2" t="n">
        <v>45884</v>
      </c>
      <c r="C119" t="inlineStr">
        <is>
          <t>South</t>
        </is>
      </c>
      <c r="D119" t="inlineStr">
        <is>
          <t>Florida</t>
        </is>
      </c>
      <c r="E119" t="inlineStr">
        <is>
          <t>John Smith</t>
        </is>
      </c>
      <c r="F119" t="inlineStr">
        <is>
          <t>PRIYA PATEL</t>
        </is>
      </c>
      <c r="G119" t="inlineStr">
        <is>
          <t>Audio</t>
        </is>
      </c>
      <c r="H119" t="inlineStr">
        <is>
          <t>P108</t>
        </is>
      </c>
      <c r="I119" t="inlineStr">
        <is>
          <t>Buds Pro</t>
        </is>
      </c>
      <c r="J119" t="n">
        <v>5</v>
      </c>
      <c r="K119" s="3" t="n">
        <v>129</v>
      </c>
      <c r="L119" s="4" t="n">
        <v>0.15</v>
      </c>
      <c r="M119" s="3" t="n">
        <v>548.25</v>
      </c>
      <c r="N119" s="3" t="n">
        <v>300</v>
      </c>
      <c r="O119" s="2" t="n">
        <v>45887</v>
      </c>
      <c r="P119" s="2" t="n">
        <v>45894</v>
      </c>
      <c r="Q119" t="inlineStr">
        <is>
          <t>Credit Card</t>
        </is>
      </c>
      <c r="R119" t="inlineStr">
        <is>
          <t>Returning</t>
        </is>
      </c>
      <c r="S119" t="n">
        <v>4</v>
      </c>
      <c r="T119" t="inlineStr">
        <is>
          <t xml:space="preserve">  follow-up  </t>
        </is>
      </c>
    </row>
    <row r="120">
      <c r="A120" t="inlineStr">
        <is>
          <t>O0119</t>
        </is>
      </c>
      <c r="B120" s="2" t="n">
        <v>45804</v>
      </c>
      <c r="C120" t="inlineStr">
        <is>
          <t>East</t>
        </is>
      </c>
      <c r="D120" t="inlineStr">
        <is>
          <t>New York</t>
        </is>
      </c>
      <c r="E120" t="inlineStr">
        <is>
          <t>John Smith</t>
        </is>
      </c>
      <c r="F120" t="inlineStr">
        <is>
          <t>John Smith</t>
        </is>
      </c>
      <c r="G120" t="inlineStr">
        <is>
          <t>Tablet</t>
        </is>
      </c>
      <c r="H120" t="inlineStr">
        <is>
          <t>P106</t>
        </is>
      </c>
      <c r="I120" t="inlineStr">
        <is>
          <t>Galaxy Tab</t>
        </is>
      </c>
      <c r="J120" t="n">
        <v>14</v>
      </c>
      <c r="K120" s="3" t="n">
        <v>499</v>
      </c>
      <c r="L120" s="4" t="n">
        <v>0</v>
      </c>
      <c r="M120" s="3" t="n">
        <v>6986</v>
      </c>
      <c r="N120" s="3" t="n">
        <v>1500</v>
      </c>
      <c r="O120" s="2" t="n">
        <v>45805</v>
      </c>
      <c r="P120" s="2" t="n">
        <v>45811</v>
      </c>
      <c r="Q120" t="inlineStr">
        <is>
          <t>Bank Transfer</t>
        </is>
      </c>
      <c r="R120" t="inlineStr">
        <is>
          <t>Returning</t>
        </is>
      </c>
      <c r="S120" t="n">
        <v>5</v>
      </c>
      <c r="T120" t="inlineStr">
        <is>
          <t>NORMAL</t>
        </is>
      </c>
    </row>
    <row r="121">
      <c r="A121" t="inlineStr">
        <is>
          <t>O0120</t>
        </is>
      </c>
      <c r="B121" s="2" t="n">
        <v>45991</v>
      </c>
      <c r="C121" t="inlineStr">
        <is>
          <t>East</t>
        </is>
      </c>
      <c r="D121" t="inlineStr">
        <is>
          <t>Massachusetts</t>
        </is>
      </c>
      <c r="E121" t="inlineStr">
        <is>
          <t>Amit Shah</t>
        </is>
      </c>
      <c r="F121" t="inlineStr">
        <is>
          <t>rAhUl shAh</t>
        </is>
      </c>
      <c r="G121" t="inlineStr">
        <is>
          <t>Accessory</t>
        </is>
      </c>
      <c r="H121" t="inlineStr">
        <is>
          <t>P110</t>
        </is>
      </c>
      <c r="I121" t="inlineStr">
        <is>
          <t>Keyboard</t>
        </is>
      </c>
      <c r="J121" t="n">
        <v>10</v>
      </c>
      <c r="K121" s="3" t="n">
        <v>59</v>
      </c>
      <c r="L121" s="4" t="n">
        <v>0.1</v>
      </c>
      <c r="M121" s="3" t="n">
        <v>531</v>
      </c>
      <c r="N121" s="3" t="n">
        <v>1500</v>
      </c>
      <c r="O121" s="2" t="n">
        <v>45993</v>
      </c>
      <c r="P121" s="2" t="n">
        <v>45996</v>
      </c>
      <c r="Q121" t="inlineStr">
        <is>
          <t>Bank Transfer</t>
        </is>
      </c>
      <c r="R121" t="inlineStr">
        <is>
          <t>New</t>
        </is>
      </c>
      <c r="S121" t="n">
        <v>3</v>
      </c>
      <c r="T121" t="inlineStr">
        <is>
          <t>refund pending</t>
        </is>
      </c>
    </row>
    <row r="122">
      <c r="A122" t="inlineStr">
        <is>
          <t>O0121</t>
        </is>
      </c>
      <c r="B122" s="2" t="n">
        <v>45746</v>
      </c>
      <c r="C122" t="inlineStr">
        <is>
          <t>East</t>
        </is>
      </c>
      <c r="D122" t="inlineStr">
        <is>
          <t>New Jersey</t>
        </is>
      </c>
      <c r="E122" t="inlineStr">
        <is>
          <t>John Smith</t>
        </is>
      </c>
      <c r="F122" t="inlineStr">
        <is>
          <t>John Smith</t>
        </is>
      </c>
      <c r="G122" t="inlineStr">
        <is>
          <t>Accessory</t>
        </is>
      </c>
      <c r="H122" t="inlineStr">
        <is>
          <t>P111</t>
        </is>
      </c>
      <c r="I122" t="inlineStr">
        <is>
          <t>Mouse</t>
        </is>
      </c>
      <c r="J122" t="n">
        <v>12</v>
      </c>
      <c r="K122" s="3" t="n">
        <v>39</v>
      </c>
      <c r="L122" s="4" t="n">
        <v>0.1</v>
      </c>
      <c r="M122" s="3" t="n">
        <v>421.2</v>
      </c>
      <c r="N122" s="3" t="n">
        <v>1000</v>
      </c>
      <c r="O122" s="2" t="n">
        <v>45747</v>
      </c>
      <c r="P122" s="2" t="n">
        <v>45749</v>
      </c>
      <c r="Q122" t="inlineStr">
        <is>
          <t>UPI</t>
        </is>
      </c>
      <c r="R122" t="inlineStr">
        <is>
          <t>Returning</t>
        </is>
      </c>
      <c r="S122" t="n">
        <v>3</v>
      </c>
      <c r="T122" t="inlineStr">
        <is>
          <t>ok</t>
        </is>
      </c>
    </row>
    <row r="123">
      <c r="A123" t="inlineStr">
        <is>
          <t>O0122</t>
        </is>
      </c>
      <c r="B123" s="2" t="n">
        <v>46005</v>
      </c>
      <c r="C123" t="inlineStr">
        <is>
          <t>South</t>
        </is>
      </c>
      <c r="D123" t="inlineStr">
        <is>
          <t>Georgia</t>
        </is>
      </c>
      <c r="E123" t="inlineStr">
        <is>
          <t>Amit Shah</t>
        </is>
      </c>
      <c r="F123" t="inlineStr">
        <is>
          <t>PRIYA PATEL</t>
        </is>
      </c>
      <c r="G123" t="inlineStr">
        <is>
          <t>Tablet</t>
        </is>
      </c>
      <c r="H123" t="inlineStr">
        <is>
          <t>P106</t>
        </is>
      </c>
      <c r="I123" t="inlineStr">
        <is>
          <t>Galaxy Tab</t>
        </is>
      </c>
      <c r="J123" t="n">
        <v>13</v>
      </c>
      <c r="K123" s="3" t="n">
        <v>499</v>
      </c>
      <c r="L123" s="4" t="n">
        <v>0.05</v>
      </c>
      <c r="M123" s="3" t="n">
        <v>6162.65</v>
      </c>
      <c r="N123" s="3" t="n">
        <v>300</v>
      </c>
      <c r="O123" s="2" t="n">
        <v>46010</v>
      </c>
      <c r="P123" s="2" t="n">
        <v>46011</v>
      </c>
      <c r="Q123" t="inlineStr">
        <is>
          <t>Bank Transfer</t>
        </is>
      </c>
      <c r="R123" t="inlineStr">
        <is>
          <t>Returning</t>
        </is>
      </c>
      <c r="S123" t="n">
        <v>3</v>
      </c>
      <c r="T123" t="inlineStr">
        <is>
          <t>refund pending</t>
        </is>
      </c>
    </row>
    <row r="124">
      <c r="A124" t="inlineStr">
        <is>
          <t>O0123</t>
        </is>
      </c>
      <c r="B124" s="2" t="n">
        <v>45956</v>
      </c>
      <c r="C124" t="inlineStr">
        <is>
          <t>West</t>
        </is>
      </c>
      <c r="D124" t="inlineStr">
        <is>
          <t>Texas</t>
        </is>
      </c>
      <c r="E124" t="inlineStr">
        <is>
          <t>Sara Khan</t>
        </is>
      </c>
      <c r="F124" t="inlineStr">
        <is>
          <t>John Smith</t>
        </is>
      </c>
      <c r="G124" t="inlineStr">
        <is>
          <t>Mobile</t>
        </is>
      </c>
      <c r="H124" t="inlineStr">
        <is>
          <t>P102</t>
        </is>
      </c>
      <c r="I124" t="inlineStr">
        <is>
          <t>Galaxy S24</t>
        </is>
      </c>
      <c r="J124" t="n">
        <v>5</v>
      </c>
      <c r="K124" s="3" t="n">
        <v>799</v>
      </c>
      <c r="L124" s="4" t="n">
        <v>0.1</v>
      </c>
      <c r="M124" s="3" t="n">
        <v>3595.5</v>
      </c>
      <c r="N124" s="3" t="n">
        <v>500</v>
      </c>
      <c r="O124" s="2" t="n">
        <v>45958</v>
      </c>
      <c r="P124" s="2" t="n">
        <v>45961</v>
      </c>
      <c r="Q124" t="inlineStr">
        <is>
          <t>Credit Card</t>
        </is>
      </c>
      <c r="R124" t="inlineStr">
        <is>
          <t>Returning</t>
        </is>
      </c>
      <c r="S124" t="n">
        <v>5</v>
      </c>
      <c r="T124" t="inlineStr">
        <is>
          <t xml:space="preserve">  follow-up  </t>
        </is>
      </c>
    </row>
    <row r="125">
      <c r="A125" t="inlineStr">
        <is>
          <t>O0124</t>
        </is>
      </c>
      <c r="B125" s="2" t="n">
        <v>46017</v>
      </c>
      <c r="C125" t="inlineStr">
        <is>
          <t>North</t>
        </is>
      </c>
      <c r="D125" t="inlineStr">
        <is>
          <t>Illinois</t>
        </is>
      </c>
      <c r="E125" t="inlineStr">
        <is>
          <t>Amit Shah</t>
        </is>
      </c>
      <c r="F125" t="inlineStr">
        <is>
          <t>PRIYA PATEL</t>
        </is>
      </c>
      <c r="G125" t="inlineStr">
        <is>
          <t>Accessory</t>
        </is>
      </c>
      <c r="H125" t="inlineStr">
        <is>
          <t>P111</t>
        </is>
      </c>
      <c r="I125" t="inlineStr">
        <is>
          <t>Mouse</t>
        </is>
      </c>
      <c r="J125" t="n">
        <v>11</v>
      </c>
      <c r="K125" s="3" t="n">
        <v>39</v>
      </c>
      <c r="L125" s="4" t="n">
        <v>0.1</v>
      </c>
      <c r="M125" s="3" t="n">
        <v>386.1</v>
      </c>
      <c r="N125" s="3" t="n">
        <v>1500</v>
      </c>
      <c r="O125" s="2" t="n">
        <v>46022</v>
      </c>
      <c r="P125" s="2" t="n">
        <v>46023</v>
      </c>
      <c r="Q125" t="inlineStr">
        <is>
          <t>Cash</t>
        </is>
      </c>
      <c r="R125" t="inlineStr">
        <is>
          <t>Returning</t>
        </is>
      </c>
      <c r="S125" t="n">
        <v>2</v>
      </c>
      <c r="T125" t="inlineStr">
        <is>
          <t>urgent</t>
        </is>
      </c>
    </row>
    <row r="126">
      <c r="A126" t="inlineStr">
        <is>
          <t>O0125</t>
        </is>
      </c>
      <c r="B126" s="2" t="n">
        <v>45773</v>
      </c>
      <c r="C126" t="inlineStr">
        <is>
          <t>North</t>
        </is>
      </c>
      <c r="D126" t="inlineStr">
        <is>
          <t>Michigan</t>
        </is>
      </c>
      <c r="E126" t="inlineStr">
        <is>
          <t>John Smith</t>
        </is>
      </c>
      <c r="F126" t="inlineStr">
        <is>
          <t xml:space="preserve"> Rahul Shah </t>
        </is>
      </c>
      <c r="G126" t="inlineStr">
        <is>
          <t>Laptop</t>
        </is>
      </c>
      <c r="H126" t="inlineStr">
        <is>
          <t>P104</t>
        </is>
      </c>
      <c r="I126" t="inlineStr">
        <is>
          <t>Inspiron 15</t>
        </is>
      </c>
      <c r="J126" t="n">
        <v>2</v>
      </c>
      <c r="K126" s="3" t="n">
        <v>749</v>
      </c>
      <c r="L126" s="4" t="n">
        <v>0.05</v>
      </c>
      <c r="M126" s="3" t="n">
        <v>1423.1</v>
      </c>
      <c r="N126" s="3" t="n">
        <v>5000</v>
      </c>
      <c r="O126" s="2" t="n">
        <v>45775</v>
      </c>
      <c r="P126" s="2" t="n">
        <v>45777</v>
      </c>
      <c r="Q126" t="inlineStr">
        <is>
          <t>Credit Card</t>
        </is>
      </c>
      <c r="R126" t="inlineStr">
        <is>
          <t>Corporate</t>
        </is>
      </c>
      <c r="S126" t="n">
        <v>3</v>
      </c>
      <c r="T126" t="inlineStr"/>
    </row>
    <row r="127">
      <c r="A127" t="inlineStr">
        <is>
          <t>O0126</t>
        </is>
      </c>
      <c r="B127" s="2" t="n">
        <v>45736</v>
      </c>
      <c r="C127" t="inlineStr">
        <is>
          <t>West</t>
        </is>
      </c>
      <c r="D127" t="inlineStr">
        <is>
          <t>Washington</t>
        </is>
      </c>
      <c r="E127" t="inlineStr">
        <is>
          <t>Sara Khan</t>
        </is>
      </c>
      <c r="F127" t="inlineStr">
        <is>
          <t>rAhUl shAh</t>
        </is>
      </c>
      <c r="G127" t="inlineStr">
        <is>
          <t>Audio</t>
        </is>
      </c>
      <c r="H127" t="inlineStr">
        <is>
          <t>P107</t>
        </is>
      </c>
      <c r="I127" t="inlineStr">
        <is>
          <t>AirPods</t>
        </is>
      </c>
      <c r="J127" t="n">
        <v>14</v>
      </c>
      <c r="K127" s="3" t="n">
        <v>179</v>
      </c>
      <c r="L127" s="4" t="n">
        <v>0.15</v>
      </c>
      <c r="M127" s="3" t="n">
        <v>2130.1</v>
      </c>
      <c r="N127" s="3" t="n">
        <v>5000</v>
      </c>
      <c r="O127" s="2" t="n">
        <v>45738</v>
      </c>
      <c r="P127" s="2" t="n">
        <v>45740</v>
      </c>
      <c r="Q127" t="inlineStr">
        <is>
          <t>Bank Transfer</t>
        </is>
      </c>
      <c r="R127" t="inlineStr">
        <is>
          <t>New</t>
        </is>
      </c>
      <c r="S127" t="n">
        <v>4</v>
      </c>
      <c r="T127" t="inlineStr">
        <is>
          <t>ok</t>
        </is>
      </c>
    </row>
    <row r="128">
      <c r="A128" t="inlineStr">
        <is>
          <t>O0127</t>
        </is>
      </c>
      <c r="B128" s="2" t="n">
        <v>45803</v>
      </c>
      <c r="C128" t="inlineStr">
        <is>
          <t>West</t>
        </is>
      </c>
      <c r="D128" t="inlineStr">
        <is>
          <t>Texas</t>
        </is>
      </c>
      <c r="E128" t="inlineStr">
        <is>
          <t>Priya Patel</t>
        </is>
      </c>
      <c r="F128" t="inlineStr">
        <is>
          <t xml:space="preserve"> Neha  Joshi </t>
        </is>
      </c>
      <c r="G128" t="inlineStr">
        <is>
          <t>Accessory</t>
        </is>
      </c>
      <c r="H128" t="inlineStr">
        <is>
          <t>P110</t>
        </is>
      </c>
      <c r="I128" t="inlineStr">
        <is>
          <t>Keyboard</t>
        </is>
      </c>
      <c r="J128" t="n">
        <v>9</v>
      </c>
      <c r="K128" s="3" t="n">
        <v>59</v>
      </c>
      <c r="L128" s="4" t="n">
        <v>0.02</v>
      </c>
      <c r="M128" s="3" t="n">
        <v>520.38</v>
      </c>
      <c r="N128" s="3" t="n">
        <v>750</v>
      </c>
      <c r="O128" s="2" t="n">
        <v>45807</v>
      </c>
      <c r="P128" s="2" t="n">
        <v>45809</v>
      </c>
      <c r="Q128" t="inlineStr">
        <is>
          <t>Cash</t>
        </is>
      </c>
      <c r="R128" t="inlineStr">
        <is>
          <t>Corporate</t>
        </is>
      </c>
      <c r="S128" t="n">
        <v>5</v>
      </c>
      <c r="T128" t="inlineStr">
        <is>
          <t xml:space="preserve">  follow-up  </t>
        </is>
      </c>
    </row>
    <row r="129">
      <c r="A129" t="inlineStr">
        <is>
          <t>O0128</t>
        </is>
      </c>
      <c r="B129" s="2" t="n">
        <v>45915</v>
      </c>
      <c r="C129" t="inlineStr">
        <is>
          <t>South</t>
        </is>
      </c>
      <c r="D129" t="inlineStr">
        <is>
          <t>Georgia</t>
        </is>
      </c>
      <c r="E129" t="inlineStr">
        <is>
          <t>Priya Patel</t>
        </is>
      </c>
      <c r="F129" t="inlineStr">
        <is>
          <t>John Smith</t>
        </is>
      </c>
      <c r="G129" t="inlineStr">
        <is>
          <t>Audio</t>
        </is>
      </c>
      <c r="H129" t="inlineStr">
        <is>
          <t>P107</t>
        </is>
      </c>
      <c r="I129" t="inlineStr">
        <is>
          <t>AirPods</t>
        </is>
      </c>
      <c r="J129" t="n">
        <v>3</v>
      </c>
      <c r="K129" s="3" t="n">
        <v>179</v>
      </c>
      <c r="L129" s="4" t="n">
        <v>0.02</v>
      </c>
      <c r="M129" s="3" t="n">
        <v>526.26</v>
      </c>
      <c r="N129" s="3" t="n">
        <v>5000</v>
      </c>
      <c r="O129" s="2" t="n">
        <v>45920</v>
      </c>
      <c r="P129" s="2" t="n">
        <v>45924</v>
      </c>
      <c r="Q129" t="inlineStr">
        <is>
          <t>Cash</t>
        </is>
      </c>
      <c r="R129" t="inlineStr">
        <is>
          <t>New</t>
        </is>
      </c>
      <c r="S129" t="n">
        <v>4</v>
      </c>
      <c r="T129" t="inlineStr"/>
    </row>
    <row r="130">
      <c r="A130" t="inlineStr">
        <is>
          <t>O0129</t>
        </is>
      </c>
      <c r="B130" s="2" t="n">
        <v>46022</v>
      </c>
      <c r="C130" t="inlineStr">
        <is>
          <t>North</t>
        </is>
      </c>
      <c r="D130" t="inlineStr">
        <is>
          <t>Minnesota</t>
        </is>
      </c>
      <c r="E130" t="inlineStr">
        <is>
          <t>Rahul Mehta</t>
        </is>
      </c>
      <c r="F130" t="inlineStr">
        <is>
          <t>rAhUl shAh</t>
        </is>
      </c>
      <c r="G130" t="inlineStr">
        <is>
          <t>Mobile</t>
        </is>
      </c>
      <c r="H130" t="inlineStr">
        <is>
          <t>P102</t>
        </is>
      </c>
      <c r="I130" t="inlineStr">
        <is>
          <t>Galaxy S24</t>
        </is>
      </c>
      <c r="J130" t="n">
        <v>2</v>
      </c>
      <c r="K130" s="3" t="n">
        <v>799</v>
      </c>
      <c r="L130" s="4" t="n">
        <v>0.05</v>
      </c>
      <c r="M130" s="3" t="n">
        <v>1518.1</v>
      </c>
      <c r="N130" s="3" t="n">
        <v>300</v>
      </c>
      <c r="O130" s="2" t="n">
        <v>46027</v>
      </c>
      <c r="P130" s="2" t="n">
        <v>46034</v>
      </c>
      <c r="Q130" t="inlineStr">
        <is>
          <t>Bank Transfer</t>
        </is>
      </c>
      <c r="R130" t="inlineStr">
        <is>
          <t>Corporate</t>
        </is>
      </c>
      <c r="S130" t="n">
        <v>2</v>
      </c>
      <c r="T130" t="inlineStr"/>
    </row>
    <row r="131">
      <c r="A131" t="inlineStr">
        <is>
          <t>O0130</t>
        </is>
      </c>
      <c r="B131" s="2" t="n">
        <v>45888</v>
      </c>
      <c r="C131" t="inlineStr">
        <is>
          <t>South</t>
        </is>
      </c>
      <c r="D131" t="inlineStr">
        <is>
          <t>Florida</t>
        </is>
      </c>
      <c r="E131" t="inlineStr">
        <is>
          <t>Rahul Mehta</t>
        </is>
      </c>
      <c r="F131" t="inlineStr">
        <is>
          <t>John Smith</t>
        </is>
      </c>
      <c r="G131" t="inlineStr">
        <is>
          <t>Laptop</t>
        </is>
      </c>
      <c r="H131" t="inlineStr">
        <is>
          <t>P104</t>
        </is>
      </c>
      <c r="I131" t="inlineStr">
        <is>
          <t>Inspiron 15</t>
        </is>
      </c>
      <c r="J131" t="n">
        <v>7</v>
      </c>
      <c r="K131" s="3" t="n">
        <v>749</v>
      </c>
      <c r="L131" s="4" t="n">
        <v>0</v>
      </c>
      <c r="M131" s="3" t="n">
        <v>5243</v>
      </c>
      <c r="N131" s="3" t="n">
        <v>1000</v>
      </c>
      <c r="O131" s="2" t="n">
        <v>45891</v>
      </c>
      <c r="P131" s="2" t="n">
        <v>45892</v>
      </c>
      <c r="Q131" t="inlineStr">
        <is>
          <t>UPI</t>
        </is>
      </c>
      <c r="R131" t="inlineStr">
        <is>
          <t>Returning</t>
        </is>
      </c>
      <c r="S131" t="n">
        <v>1</v>
      </c>
      <c r="T131" t="inlineStr">
        <is>
          <t>ok</t>
        </is>
      </c>
    </row>
    <row r="132">
      <c r="A132" t="inlineStr">
        <is>
          <t>O0131</t>
        </is>
      </c>
      <c r="B132" s="2" t="n">
        <v>45708</v>
      </c>
      <c r="C132" t="inlineStr">
        <is>
          <t>West</t>
        </is>
      </c>
      <c r="D132" t="inlineStr">
        <is>
          <t>California</t>
        </is>
      </c>
      <c r="E132" t="inlineStr">
        <is>
          <t>Neha Joshi</t>
        </is>
      </c>
      <c r="F132" t="inlineStr">
        <is>
          <t>PRIYA PATEL</t>
        </is>
      </c>
      <c r="G132" t="inlineStr">
        <is>
          <t>Tablet</t>
        </is>
      </c>
      <c r="H132" t="inlineStr">
        <is>
          <t>P106</t>
        </is>
      </c>
      <c r="I132" t="inlineStr">
        <is>
          <t>Galaxy Tab</t>
        </is>
      </c>
      <c r="J132" t="n">
        <v>3</v>
      </c>
      <c r="K132" s="3" t="n">
        <v>499</v>
      </c>
      <c r="L132" s="4" t="n">
        <v>0.02</v>
      </c>
      <c r="M132" s="3" t="n">
        <v>1467.06</v>
      </c>
      <c r="N132" s="3" t="n">
        <v>300</v>
      </c>
      <c r="O132" s="2" t="n">
        <v>45711</v>
      </c>
      <c r="P132" s="2" t="n">
        <v>45718</v>
      </c>
      <c r="Q132" t="inlineStr">
        <is>
          <t>UPI</t>
        </is>
      </c>
      <c r="R132" t="inlineStr">
        <is>
          <t>Corporate</t>
        </is>
      </c>
      <c r="S132" t="n">
        <v>4</v>
      </c>
      <c r="T132" t="inlineStr">
        <is>
          <t xml:space="preserve">  follow-up  </t>
        </is>
      </c>
    </row>
    <row r="133">
      <c r="A133" t="inlineStr">
        <is>
          <t>O0132</t>
        </is>
      </c>
      <c r="B133" s="2" t="n">
        <v>45789</v>
      </c>
      <c r="C133" t="inlineStr">
        <is>
          <t>East</t>
        </is>
      </c>
      <c r="D133" t="inlineStr">
        <is>
          <t>New York</t>
        </is>
      </c>
      <c r="E133" t="inlineStr">
        <is>
          <t>John Smith</t>
        </is>
      </c>
      <c r="F133" t="inlineStr">
        <is>
          <t>John Smith</t>
        </is>
      </c>
      <c r="G133" t="inlineStr">
        <is>
          <t>Mobile</t>
        </is>
      </c>
      <c r="H133" t="inlineStr">
        <is>
          <t>P101</t>
        </is>
      </c>
      <c r="I133" t="inlineStr">
        <is>
          <t>iPhone 15</t>
        </is>
      </c>
      <c r="J133" t="n">
        <v>3</v>
      </c>
      <c r="K133" s="3" t="n">
        <v>699</v>
      </c>
      <c r="L133" s="4" t="n">
        <v>0.15</v>
      </c>
      <c r="M133" s="3" t="n">
        <v>1782.45</v>
      </c>
      <c r="N133" s="3" t="n">
        <v>2500</v>
      </c>
      <c r="O133" s="2" t="n">
        <v>45791</v>
      </c>
      <c r="P133" s="2" t="n">
        <v>45798</v>
      </c>
      <c r="Q133" t="inlineStr">
        <is>
          <t>Bank Transfer</t>
        </is>
      </c>
      <c r="R133" t="inlineStr">
        <is>
          <t>New</t>
        </is>
      </c>
      <c r="S133" t="n">
        <v>3</v>
      </c>
      <c r="T133" t="inlineStr">
        <is>
          <t>urgent</t>
        </is>
      </c>
    </row>
    <row r="134">
      <c r="A134" t="inlineStr">
        <is>
          <t>O0133</t>
        </is>
      </c>
      <c r="B134" s="2" t="n">
        <v>45780</v>
      </c>
      <c r="C134" t="inlineStr">
        <is>
          <t>North</t>
        </is>
      </c>
      <c r="D134" t="inlineStr">
        <is>
          <t>Illinois</t>
        </is>
      </c>
      <c r="E134" t="inlineStr">
        <is>
          <t>Amit Shah</t>
        </is>
      </c>
      <c r="F134" t="inlineStr">
        <is>
          <t xml:space="preserve"> Rahul Shah </t>
        </is>
      </c>
      <c r="G134" t="inlineStr">
        <is>
          <t>Mobile</t>
        </is>
      </c>
      <c r="H134" t="inlineStr">
        <is>
          <t>P101</t>
        </is>
      </c>
      <c r="I134" t="inlineStr">
        <is>
          <t>iPhone 15</t>
        </is>
      </c>
      <c r="J134" t="n">
        <v>13</v>
      </c>
      <c r="K134" s="3" t="n">
        <v>699</v>
      </c>
      <c r="L134" s="4" t="n">
        <v>0.15</v>
      </c>
      <c r="M134" s="3" t="n">
        <v>7723.95</v>
      </c>
      <c r="N134" s="3" t="n">
        <v>1000</v>
      </c>
      <c r="O134" s="2" t="n">
        <v>45784</v>
      </c>
      <c r="P134" s="2" t="n">
        <v>45790</v>
      </c>
      <c r="Q134" t="inlineStr">
        <is>
          <t>Bank Transfer</t>
        </is>
      </c>
      <c r="R134" t="inlineStr">
        <is>
          <t>Corporate</t>
        </is>
      </c>
      <c r="S134" t="n">
        <v>5</v>
      </c>
      <c r="T134" t="inlineStr">
        <is>
          <t xml:space="preserve"> normal </t>
        </is>
      </c>
    </row>
    <row r="135">
      <c r="A135" t="inlineStr">
        <is>
          <t>O0134</t>
        </is>
      </c>
      <c r="B135" s="2" t="n">
        <v>45807</v>
      </c>
      <c r="C135" t="inlineStr">
        <is>
          <t>West</t>
        </is>
      </c>
      <c r="D135" t="inlineStr">
        <is>
          <t>Washington</t>
        </is>
      </c>
      <c r="E135" t="inlineStr">
        <is>
          <t>Neha Joshi</t>
        </is>
      </c>
      <c r="F135" t="inlineStr">
        <is>
          <t>John Smith</t>
        </is>
      </c>
      <c r="G135" t="inlineStr">
        <is>
          <t>Laptop</t>
        </is>
      </c>
      <c r="H135" t="inlineStr">
        <is>
          <t>P103</t>
        </is>
      </c>
      <c r="I135" t="inlineStr">
        <is>
          <t>ThinkPad E14</t>
        </is>
      </c>
      <c r="J135" t="n">
        <v>10</v>
      </c>
      <c r="K135" s="3" t="n">
        <v>899</v>
      </c>
      <c r="L135" s="4" t="n">
        <v>0.05</v>
      </c>
      <c r="M135" s="3" t="n">
        <v>8540.5</v>
      </c>
      <c r="N135" s="3" t="n">
        <v>500</v>
      </c>
      <c r="O135" s="2" t="n">
        <v>45811</v>
      </c>
      <c r="P135" s="2" t="n">
        <v>45812</v>
      </c>
      <c r="Q135" t="inlineStr">
        <is>
          <t>UPI</t>
        </is>
      </c>
      <c r="R135" t="inlineStr">
        <is>
          <t>Corporate</t>
        </is>
      </c>
      <c r="S135" t="n">
        <v>1</v>
      </c>
      <c r="T135" t="inlineStr">
        <is>
          <t>NORMAL</t>
        </is>
      </c>
    </row>
    <row r="136">
      <c r="A136" t="inlineStr">
        <is>
          <t>O0135</t>
        </is>
      </c>
      <c r="B136" s="2" t="n">
        <v>45936</v>
      </c>
      <c r="C136" t="inlineStr">
        <is>
          <t>North</t>
        </is>
      </c>
      <c r="D136" t="inlineStr">
        <is>
          <t>Illinois</t>
        </is>
      </c>
      <c r="E136" t="inlineStr">
        <is>
          <t>Neha Joshi</t>
        </is>
      </c>
      <c r="F136" t="inlineStr">
        <is>
          <t xml:space="preserve"> Neha  Joshi </t>
        </is>
      </c>
      <c r="G136" t="inlineStr">
        <is>
          <t>Monitor</t>
        </is>
      </c>
      <c r="H136" t="inlineStr">
        <is>
          <t>P109</t>
        </is>
      </c>
      <c r="I136" t="inlineStr">
        <is>
          <t>Monitor 24</t>
        </is>
      </c>
      <c r="J136" t="n">
        <v>9</v>
      </c>
      <c r="K136" s="3" t="n">
        <v>229</v>
      </c>
      <c r="L136" s="4" t="n">
        <v>0.15</v>
      </c>
      <c r="M136" s="3" t="n">
        <v>1751.85</v>
      </c>
      <c r="N136" s="3" t="n">
        <v>300</v>
      </c>
      <c r="O136" s="2" t="n">
        <v>45941</v>
      </c>
      <c r="P136" s="2" t="n">
        <v>45948</v>
      </c>
      <c r="Q136" t="inlineStr">
        <is>
          <t>Credit Card</t>
        </is>
      </c>
      <c r="R136" t="inlineStr">
        <is>
          <t>Corporate</t>
        </is>
      </c>
      <c r="S136" t="n">
        <v>4</v>
      </c>
      <c r="T136" t="inlineStr">
        <is>
          <t>ok</t>
        </is>
      </c>
    </row>
    <row r="137">
      <c r="A137" t="inlineStr">
        <is>
          <t>O0136</t>
        </is>
      </c>
      <c r="B137" s="2" t="n">
        <v>45840</v>
      </c>
      <c r="C137" t="inlineStr">
        <is>
          <t>North</t>
        </is>
      </c>
      <c r="D137" t="inlineStr">
        <is>
          <t>Minnesota</t>
        </is>
      </c>
      <c r="E137" t="inlineStr">
        <is>
          <t>Sara Khan</t>
        </is>
      </c>
      <c r="F137" t="inlineStr">
        <is>
          <t>John Smith</t>
        </is>
      </c>
      <c r="G137" t="inlineStr">
        <is>
          <t>Mobile</t>
        </is>
      </c>
      <c r="H137" t="inlineStr">
        <is>
          <t>P101</t>
        </is>
      </c>
      <c r="I137" t="inlineStr">
        <is>
          <t>iPhone 15</t>
        </is>
      </c>
      <c r="J137" t="n">
        <v>4</v>
      </c>
      <c r="K137" s="3" t="n">
        <v>699</v>
      </c>
      <c r="L137" s="4" t="n">
        <v>0</v>
      </c>
      <c r="M137" s="3" t="n">
        <v>2796</v>
      </c>
      <c r="N137" s="3" t="n">
        <v>5000</v>
      </c>
      <c r="O137" s="2" t="n">
        <v>45841</v>
      </c>
      <c r="P137" s="2" t="n">
        <v>45844</v>
      </c>
      <c r="Q137" t="inlineStr">
        <is>
          <t>Cash</t>
        </is>
      </c>
      <c r="R137" t="inlineStr">
        <is>
          <t>New</t>
        </is>
      </c>
      <c r="S137" t="n">
        <v>1</v>
      </c>
      <c r="T137" t="inlineStr">
        <is>
          <t>ok</t>
        </is>
      </c>
    </row>
    <row r="138">
      <c r="A138" t="inlineStr">
        <is>
          <t>O0137</t>
        </is>
      </c>
      <c r="B138" s="2" t="n">
        <v>46008</v>
      </c>
      <c r="C138" t="inlineStr">
        <is>
          <t>North</t>
        </is>
      </c>
      <c r="D138" t="inlineStr">
        <is>
          <t>Minnesota</t>
        </is>
      </c>
      <c r="E138" t="inlineStr">
        <is>
          <t>Amit Shah</t>
        </is>
      </c>
      <c r="F138" t="inlineStr">
        <is>
          <t>rAhUl shAh</t>
        </is>
      </c>
      <c r="G138" t="inlineStr">
        <is>
          <t>Laptop</t>
        </is>
      </c>
      <c r="H138" t="inlineStr">
        <is>
          <t>P103</t>
        </is>
      </c>
      <c r="I138" t="inlineStr">
        <is>
          <t>ThinkPad E14</t>
        </is>
      </c>
      <c r="J138" t="n">
        <v>8</v>
      </c>
      <c r="K138" s="3" t="n">
        <v>899</v>
      </c>
      <c r="L138" s="4" t="n">
        <v>0.02</v>
      </c>
      <c r="M138" s="3" t="n">
        <v>7048.16</v>
      </c>
      <c r="N138" s="3" t="n">
        <v>5000</v>
      </c>
      <c r="O138" s="2" t="n">
        <v>46012</v>
      </c>
      <c r="P138" s="2" t="n">
        <v>46018</v>
      </c>
      <c r="Q138" t="inlineStr">
        <is>
          <t>Bank Transfer</t>
        </is>
      </c>
      <c r="R138" t="inlineStr">
        <is>
          <t>New</t>
        </is>
      </c>
      <c r="S138" t="n">
        <v>3</v>
      </c>
      <c r="T138" t="inlineStr">
        <is>
          <t>urgent</t>
        </is>
      </c>
    </row>
    <row r="139">
      <c r="A139" t="inlineStr">
        <is>
          <t>O0138</t>
        </is>
      </c>
      <c r="B139" s="2" t="n">
        <v>45819</v>
      </c>
      <c r="C139" t="inlineStr">
        <is>
          <t>East</t>
        </is>
      </c>
      <c r="D139" t="inlineStr">
        <is>
          <t>New York</t>
        </is>
      </c>
      <c r="E139" t="inlineStr">
        <is>
          <t>Amit Shah</t>
        </is>
      </c>
      <c r="F139" t="inlineStr">
        <is>
          <t>PRIYA PATEL</t>
        </is>
      </c>
      <c r="G139" t="inlineStr">
        <is>
          <t>Mobile</t>
        </is>
      </c>
      <c r="H139" t="inlineStr">
        <is>
          <t>P101</t>
        </is>
      </c>
      <c r="I139" t="inlineStr">
        <is>
          <t>iPhone 15</t>
        </is>
      </c>
      <c r="J139" t="n">
        <v>7</v>
      </c>
      <c r="K139" s="3" t="n">
        <v>699</v>
      </c>
      <c r="L139" s="4" t="n">
        <v>0.15</v>
      </c>
      <c r="M139" s="3" t="n">
        <v>4159.05</v>
      </c>
      <c r="N139" s="3" t="n">
        <v>1000</v>
      </c>
      <c r="O139" s="2" t="n">
        <v>45822</v>
      </c>
      <c r="P139" s="2" t="n">
        <v>45827</v>
      </c>
      <c r="Q139" t="inlineStr">
        <is>
          <t>UPI</t>
        </is>
      </c>
      <c r="R139" t="inlineStr">
        <is>
          <t>Returning</t>
        </is>
      </c>
      <c r="S139" t="n">
        <v>3</v>
      </c>
      <c r="T139" t="inlineStr"/>
    </row>
    <row r="140">
      <c r="A140" t="inlineStr">
        <is>
          <t>O0139</t>
        </is>
      </c>
      <c r="B140" s="2" t="n">
        <v>45797</v>
      </c>
      <c r="C140" t="inlineStr">
        <is>
          <t>East</t>
        </is>
      </c>
      <c r="D140" t="inlineStr">
        <is>
          <t>New Jersey</t>
        </is>
      </c>
      <c r="E140" t="inlineStr">
        <is>
          <t>Neha Joshi</t>
        </is>
      </c>
      <c r="F140" t="inlineStr">
        <is>
          <t>Sara Khan</t>
        </is>
      </c>
      <c r="G140" t="inlineStr">
        <is>
          <t>Tablet</t>
        </is>
      </c>
      <c r="H140" t="inlineStr">
        <is>
          <t>P106</t>
        </is>
      </c>
      <c r="I140" t="inlineStr">
        <is>
          <t>Galaxy Tab</t>
        </is>
      </c>
      <c r="J140" t="n">
        <v>6</v>
      </c>
      <c r="K140" s="3" t="n">
        <v>499</v>
      </c>
      <c r="L140" s="4" t="n">
        <v>0.1</v>
      </c>
      <c r="M140" s="3" t="n">
        <v>2694.6</v>
      </c>
      <c r="N140" s="3" t="n">
        <v>1000</v>
      </c>
      <c r="O140" s="2" t="n">
        <v>45798</v>
      </c>
      <c r="P140" s="2" t="n">
        <v>45805</v>
      </c>
      <c r="Q140" t="inlineStr">
        <is>
          <t>Bank Transfer</t>
        </is>
      </c>
      <c r="R140" t="inlineStr">
        <is>
          <t>Returning</t>
        </is>
      </c>
      <c r="S140" t="n">
        <v>2</v>
      </c>
      <c r="T140" t="inlineStr">
        <is>
          <t xml:space="preserve">  follow-up  </t>
        </is>
      </c>
    </row>
    <row r="141">
      <c r="A141" t="inlineStr">
        <is>
          <t>O0140</t>
        </is>
      </c>
      <c r="B141" s="2" t="n">
        <v>45794</v>
      </c>
      <c r="C141" t="inlineStr">
        <is>
          <t>South</t>
        </is>
      </c>
      <c r="D141" t="inlineStr">
        <is>
          <t>Georgia</t>
        </is>
      </c>
      <c r="E141" t="inlineStr">
        <is>
          <t>Priya Patel</t>
        </is>
      </c>
      <c r="F141" t="inlineStr">
        <is>
          <t>John Smith</t>
        </is>
      </c>
      <c r="G141" t="inlineStr">
        <is>
          <t>Monitor</t>
        </is>
      </c>
      <c r="H141" t="inlineStr">
        <is>
          <t>P109</t>
        </is>
      </c>
      <c r="I141" t="inlineStr">
        <is>
          <t>Monitor 24</t>
        </is>
      </c>
      <c r="J141" t="n">
        <v>7</v>
      </c>
      <c r="K141" s="3" t="n">
        <v>229</v>
      </c>
      <c r="L141" s="4" t="n">
        <v>0</v>
      </c>
      <c r="M141" s="3" t="n">
        <v>1603</v>
      </c>
      <c r="N141" s="3" t="n">
        <v>1000</v>
      </c>
      <c r="O141" s="2" t="n">
        <v>45795</v>
      </c>
      <c r="P141" s="2" t="n">
        <v>45801</v>
      </c>
      <c r="Q141" t="inlineStr">
        <is>
          <t>Cash</t>
        </is>
      </c>
      <c r="R141" t="inlineStr">
        <is>
          <t>Returning</t>
        </is>
      </c>
      <c r="S141" t="n">
        <v>1</v>
      </c>
      <c r="T141" t="inlineStr">
        <is>
          <t xml:space="preserve"> normal </t>
        </is>
      </c>
    </row>
    <row r="142">
      <c r="A142" t="inlineStr">
        <is>
          <t>O0141</t>
        </is>
      </c>
      <c r="B142" s="2" t="n">
        <v>45814</v>
      </c>
      <c r="C142" t="inlineStr">
        <is>
          <t>North</t>
        </is>
      </c>
      <c r="D142" t="inlineStr">
        <is>
          <t>Minnesota</t>
        </is>
      </c>
      <c r="E142" t="inlineStr">
        <is>
          <t>Neha Joshi</t>
        </is>
      </c>
      <c r="F142" t="inlineStr">
        <is>
          <t>Sara Khan</t>
        </is>
      </c>
      <c r="G142" t="inlineStr">
        <is>
          <t>Tablet</t>
        </is>
      </c>
      <c r="H142" t="inlineStr">
        <is>
          <t>P105</t>
        </is>
      </c>
      <c r="I142" t="inlineStr">
        <is>
          <t>iPad Air</t>
        </is>
      </c>
      <c r="J142" t="n">
        <v>12</v>
      </c>
      <c r="K142" s="3" t="n">
        <v>599</v>
      </c>
      <c r="L142" s="4" t="n">
        <v>0.1</v>
      </c>
      <c r="M142" s="3" t="n">
        <v>6469.2</v>
      </c>
      <c r="N142" s="3" t="n">
        <v>500</v>
      </c>
      <c r="O142" s="2" t="n">
        <v>45818</v>
      </c>
      <c r="P142" s="2" t="n">
        <v>45823</v>
      </c>
      <c r="Q142" t="inlineStr">
        <is>
          <t>Cash</t>
        </is>
      </c>
      <c r="R142" t="inlineStr">
        <is>
          <t>Returning</t>
        </is>
      </c>
      <c r="S142" t="n">
        <v>1</v>
      </c>
      <c r="T142" t="inlineStr">
        <is>
          <t>refund pending</t>
        </is>
      </c>
    </row>
    <row r="143">
      <c r="A143" t="inlineStr">
        <is>
          <t>O0142</t>
        </is>
      </c>
      <c r="B143" s="2" t="n">
        <v>45798</v>
      </c>
      <c r="C143" t="inlineStr">
        <is>
          <t>North</t>
        </is>
      </c>
      <c r="D143" t="inlineStr">
        <is>
          <t>Minnesota</t>
        </is>
      </c>
      <c r="E143" t="inlineStr">
        <is>
          <t>Sara Khan</t>
        </is>
      </c>
      <c r="F143" t="inlineStr">
        <is>
          <t>John Smith</t>
        </is>
      </c>
      <c r="G143" t="inlineStr">
        <is>
          <t>Audio</t>
        </is>
      </c>
      <c r="H143" t="inlineStr">
        <is>
          <t>P107</t>
        </is>
      </c>
      <c r="I143" t="inlineStr">
        <is>
          <t>AirPods</t>
        </is>
      </c>
      <c r="J143" t="n">
        <v>11</v>
      </c>
      <c r="K143" s="3" t="n">
        <v>179</v>
      </c>
      <c r="L143" s="4" t="n">
        <v>0.1</v>
      </c>
      <c r="M143" s="3" t="n">
        <v>1772.1</v>
      </c>
      <c r="N143" s="3" t="n">
        <v>750</v>
      </c>
      <c r="O143" s="2" t="n">
        <v>45799</v>
      </c>
      <c r="P143" s="2" t="n">
        <v>45800</v>
      </c>
      <c r="Q143" t="inlineStr">
        <is>
          <t>UPI</t>
        </is>
      </c>
      <c r="R143" t="inlineStr">
        <is>
          <t>New</t>
        </is>
      </c>
      <c r="S143" t="n">
        <v>2</v>
      </c>
      <c r="T143" t="inlineStr"/>
    </row>
    <row r="144">
      <c r="A144" t="inlineStr">
        <is>
          <t>O0143</t>
        </is>
      </c>
      <c r="B144" s="2" t="n">
        <v>45692</v>
      </c>
      <c r="C144" t="inlineStr">
        <is>
          <t>South</t>
        </is>
      </c>
      <c r="D144" t="inlineStr">
        <is>
          <t>Florida</t>
        </is>
      </c>
      <c r="E144" t="inlineStr">
        <is>
          <t>John Smith</t>
        </is>
      </c>
      <c r="F144" t="inlineStr">
        <is>
          <t xml:space="preserve"> Neha  Joshi </t>
        </is>
      </c>
      <c r="G144" t="inlineStr">
        <is>
          <t>Laptop</t>
        </is>
      </c>
      <c r="H144" t="inlineStr">
        <is>
          <t>P103</t>
        </is>
      </c>
      <c r="I144" t="inlineStr">
        <is>
          <t>ThinkPad E14</t>
        </is>
      </c>
      <c r="J144" t="n">
        <v>11</v>
      </c>
      <c r="K144" s="3" t="n">
        <v>899</v>
      </c>
      <c r="L144" s="4" t="n">
        <v>0.05</v>
      </c>
      <c r="M144" s="3" t="n">
        <v>9394.549999999999</v>
      </c>
      <c r="N144" s="3" t="n">
        <v>750</v>
      </c>
      <c r="O144" s="2" t="n">
        <v>45694</v>
      </c>
      <c r="P144" s="2" t="n">
        <v>45701</v>
      </c>
      <c r="Q144" t="inlineStr">
        <is>
          <t>Credit Card</t>
        </is>
      </c>
      <c r="R144" t="inlineStr">
        <is>
          <t>Corporate</t>
        </is>
      </c>
      <c r="S144" t="n">
        <v>2</v>
      </c>
      <c r="T144" t="inlineStr">
        <is>
          <t>refund pending</t>
        </is>
      </c>
    </row>
    <row r="145">
      <c r="A145" t="inlineStr">
        <is>
          <t>O0144</t>
        </is>
      </c>
      <c r="B145" s="2" t="n">
        <v>45885</v>
      </c>
      <c r="C145" t="inlineStr">
        <is>
          <t>South</t>
        </is>
      </c>
      <c r="D145" t="inlineStr">
        <is>
          <t>Georgia</t>
        </is>
      </c>
      <c r="E145" t="inlineStr">
        <is>
          <t>Rahul Mehta</t>
        </is>
      </c>
      <c r="F145" t="inlineStr">
        <is>
          <t xml:space="preserve"> Neha  Joshi </t>
        </is>
      </c>
      <c r="G145" t="inlineStr">
        <is>
          <t>Tablet</t>
        </is>
      </c>
      <c r="H145" t="inlineStr">
        <is>
          <t>P106</t>
        </is>
      </c>
      <c r="I145" t="inlineStr">
        <is>
          <t>Galaxy Tab</t>
        </is>
      </c>
      <c r="J145" t="n">
        <v>3</v>
      </c>
      <c r="K145" s="3" t="n">
        <v>499</v>
      </c>
      <c r="L145" s="4" t="n">
        <v>0.15</v>
      </c>
      <c r="M145" s="3" t="n">
        <v>1272.45</v>
      </c>
      <c r="N145" s="3" t="n">
        <v>750</v>
      </c>
      <c r="O145" s="2" t="n">
        <v>45886</v>
      </c>
      <c r="P145" s="2" t="n">
        <v>45891</v>
      </c>
      <c r="Q145" t="inlineStr">
        <is>
          <t>Cash</t>
        </is>
      </c>
      <c r="R145" t="inlineStr">
        <is>
          <t>New</t>
        </is>
      </c>
      <c r="S145" t="n">
        <v>1</v>
      </c>
      <c r="T145" t="inlineStr">
        <is>
          <t xml:space="preserve"> normal </t>
        </is>
      </c>
    </row>
    <row r="146">
      <c r="A146" t="inlineStr">
        <is>
          <t>O0145</t>
        </is>
      </c>
      <c r="B146" s="2" t="n">
        <v>45856</v>
      </c>
      <c r="C146" t="inlineStr">
        <is>
          <t>West</t>
        </is>
      </c>
      <c r="D146" t="inlineStr">
        <is>
          <t>Texas</t>
        </is>
      </c>
      <c r="E146" t="inlineStr">
        <is>
          <t>Priya Patel</t>
        </is>
      </c>
      <c r="F146" t="inlineStr">
        <is>
          <t xml:space="preserve"> Neha  Joshi </t>
        </is>
      </c>
      <c r="G146" t="inlineStr">
        <is>
          <t>Monitor</t>
        </is>
      </c>
      <c r="H146" t="inlineStr">
        <is>
          <t>P109</t>
        </is>
      </c>
      <c r="I146" t="inlineStr">
        <is>
          <t>Monitor 24</t>
        </is>
      </c>
      <c r="J146" t="n">
        <v>5</v>
      </c>
      <c r="K146" s="3" t="n">
        <v>229</v>
      </c>
      <c r="L146" s="4" t="n">
        <v>0.05</v>
      </c>
      <c r="M146" s="3" t="n">
        <v>1087.75</v>
      </c>
      <c r="N146" s="3" t="n">
        <v>2500</v>
      </c>
      <c r="O146" s="2" t="n">
        <v>45861</v>
      </c>
      <c r="P146" s="2" t="n">
        <v>45862</v>
      </c>
      <c r="Q146" t="inlineStr">
        <is>
          <t>Cash</t>
        </is>
      </c>
      <c r="R146" t="inlineStr">
        <is>
          <t>Corporate</t>
        </is>
      </c>
      <c r="S146" t="n">
        <v>4</v>
      </c>
      <c r="T146" t="inlineStr">
        <is>
          <t>urgent</t>
        </is>
      </c>
    </row>
    <row r="147">
      <c r="A147" t="inlineStr">
        <is>
          <t>O0146</t>
        </is>
      </c>
      <c r="B147" s="2" t="n">
        <v>45889</v>
      </c>
      <c r="C147" t="inlineStr">
        <is>
          <t>East</t>
        </is>
      </c>
      <c r="D147" t="inlineStr">
        <is>
          <t>New York</t>
        </is>
      </c>
      <c r="E147" t="inlineStr">
        <is>
          <t>Rahul Mehta</t>
        </is>
      </c>
      <c r="F147" t="inlineStr">
        <is>
          <t>Sara Khan</t>
        </is>
      </c>
      <c r="G147" t="inlineStr">
        <is>
          <t>Mobile</t>
        </is>
      </c>
      <c r="H147" t="inlineStr">
        <is>
          <t>P102</t>
        </is>
      </c>
      <c r="I147" t="inlineStr">
        <is>
          <t>Galaxy S24</t>
        </is>
      </c>
      <c r="J147" t="n">
        <v>8</v>
      </c>
      <c r="K147" s="3" t="n">
        <v>799</v>
      </c>
      <c r="L147" s="4" t="n">
        <v>0</v>
      </c>
      <c r="M147" s="3" t="n">
        <v>6392</v>
      </c>
      <c r="N147" s="3" t="n">
        <v>5000</v>
      </c>
      <c r="O147" s="2" t="n">
        <v>45891</v>
      </c>
      <c r="P147" s="2" t="n">
        <v>45897</v>
      </c>
      <c r="Q147" t="inlineStr">
        <is>
          <t>Cash</t>
        </is>
      </c>
      <c r="R147" t="inlineStr">
        <is>
          <t>Corporate</t>
        </is>
      </c>
      <c r="S147" t="n">
        <v>1</v>
      </c>
      <c r="T147" t="inlineStr">
        <is>
          <t>NORMAL</t>
        </is>
      </c>
    </row>
    <row r="148">
      <c r="A148" t="inlineStr">
        <is>
          <t>O0147</t>
        </is>
      </c>
      <c r="B148" s="2" t="n">
        <v>46022</v>
      </c>
      <c r="C148" t="inlineStr">
        <is>
          <t>North</t>
        </is>
      </c>
      <c r="D148" t="inlineStr">
        <is>
          <t>Michigan</t>
        </is>
      </c>
      <c r="E148" t="inlineStr">
        <is>
          <t>Priya Patel</t>
        </is>
      </c>
      <c r="F148" t="inlineStr">
        <is>
          <t xml:space="preserve"> Rahul Shah </t>
        </is>
      </c>
      <c r="G148" t="inlineStr">
        <is>
          <t>Laptop</t>
        </is>
      </c>
      <c r="H148" t="inlineStr">
        <is>
          <t>P103</t>
        </is>
      </c>
      <c r="I148" t="inlineStr">
        <is>
          <t>ThinkPad E14</t>
        </is>
      </c>
      <c r="J148" t="n">
        <v>6</v>
      </c>
      <c r="K148" s="3" t="n">
        <v>899</v>
      </c>
      <c r="L148" s="4" t="n">
        <v>0.15</v>
      </c>
      <c r="M148" s="3" t="n">
        <v>4584.9</v>
      </c>
      <c r="N148" s="3" t="n">
        <v>500</v>
      </c>
      <c r="O148" s="2" t="n">
        <v>46024</v>
      </c>
      <c r="P148" s="2" t="n">
        <v>46031</v>
      </c>
      <c r="Q148" t="inlineStr">
        <is>
          <t>UPI</t>
        </is>
      </c>
      <c r="R148" t="inlineStr">
        <is>
          <t>New</t>
        </is>
      </c>
      <c r="S148" t="n">
        <v>4</v>
      </c>
      <c r="T148" t="inlineStr">
        <is>
          <t xml:space="preserve"> normal </t>
        </is>
      </c>
    </row>
    <row r="149">
      <c r="A149" t="inlineStr">
        <is>
          <t>O0148</t>
        </is>
      </c>
      <c r="B149" s="2" t="n">
        <v>45846</v>
      </c>
      <c r="C149" t="inlineStr">
        <is>
          <t>North</t>
        </is>
      </c>
      <c r="D149" t="inlineStr">
        <is>
          <t>Minnesota</t>
        </is>
      </c>
      <c r="E149" t="inlineStr">
        <is>
          <t>Amit Shah</t>
        </is>
      </c>
      <c r="F149" t="inlineStr">
        <is>
          <t xml:space="preserve"> Rahul Shah  </t>
        </is>
      </c>
      <c r="G149" t="inlineStr">
        <is>
          <t>Accessory</t>
        </is>
      </c>
      <c r="H149" t="inlineStr">
        <is>
          <t>P110</t>
        </is>
      </c>
      <c r="I149" t="inlineStr">
        <is>
          <t>Keyboard</t>
        </is>
      </c>
      <c r="J149" t="n">
        <v>9</v>
      </c>
      <c r="K149" s="3" t="n">
        <v>59</v>
      </c>
      <c r="L149" s="4" t="n">
        <v>0.02</v>
      </c>
      <c r="M149" s="3" t="n">
        <v>520.38</v>
      </c>
      <c r="N149" s="3" t="n">
        <v>1500</v>
      </c>
      <c r="O149" s="2" t="n">
        <v>45850</v>
      </c>
      <c r="P149" s="2" t="n">
        <v>45857</v>
      </c>
      <c r="Q149" t="inlineStr">
        <is>
          <t>Cash</t>
        </is>
      </c>
      <c r="R149" t="inlineStr">
        <is>
          <t>Returning</t>
        </is>
      </c>
      <c r="S149" t="n">
        <v>4</v>
      </c>
      <c r="T149" t="inlineStr">
        <is>
          <t>NORMAL</t>
        </is>
      </c>
    </row>
    <row r="150">
      <c r="A150" t="inlineStr">
        <is>
          <t>O0149</t>
        </is>
      </c>
      <c r="B150" s="2" t="n">
        <v>45695</v>
      </c>
      <c r="C150" t="inlineStr">
        <is>
          <t>South</t>
        </is>
      </c>
      <c r="D150" t="inlineStr">
        <is>
          <t>Georgia</t>
        </is>
      </c>
      <c r="E150" t="inlineStr">
        <is>
          <t>Sara Khan</t>
        </is>
      </c>
      <c r="F150" t="inlineStr">
        <is>
          <t xml:space="preserve"> Neha  Joshi </t>
        </is>
      </c>
      <c r="G150" t="inlineStr">
        <is>
          <t>Accessory</t>
        </is>
      </c>
      <c r="H150" t="inlineStr">
        <is>
          <t>P110</t>
        </is>
      </c>
      <c r="I150" t="inlineStr">
        <is>
          <t>Keyboard</t>
        </is>
      </c>
      <c r="J150" t="n">
        <v>11</v>
      </c>
      <c r="K150" s="3" t="n">
        <v>59</v>
      </c>
      <c r="L150" s="4" t="n">
        <v>0</v>
      </c>
      <c r="M150" s="3" t="n">
        <v>649</v>
      </c>
      <c r="N150" s="3" t="n">
        <v>1000</v>
      </c>
      <c r="O150" s="2" t="n">
        <v>45697</v>
      </c>
      <c r="P150" s="2" t="n">
        <v>45700</v>
      </c>
      <c r="Q150" t="inlineStr">
        <is>
          <t>Cash</t>
        </is>
      </c>
      <c r="R150" t="inlineStr">
        <is>
          <t>New</t>
        </is>
      </c>
      <c r="S150" t="n">
        <v>5</v>
      </c>
      <c r="T150" t="inlineStr">
        <is>
          <t>refund pending</t>
        </is>
      </c>
    </row>
    <row r="151">
      <c r="A151" t="inlineStr">
        <is>
          <t>O0150</t>
        </is>
      </c>
      <c r="B151" s="2" t="n">
        <v>45915</v>
      </c>
      <c r="C151" t="inlineStr">
        <is>
          <t>West</t>
        </is>
      </c>
      <c r="D151" t="inlineStr">
        <is>
          <t>California</t>
        </is>
      </c>
      <c r="E151" t="inlineStr">
        <is>
          <t>Priya Patel</t>
        </is>
      </c>
      <c r="F151" t="inlineStr">
        <is>
          <t>PRIYA PATEL</t>
        </is>
      </c>
      <c r="G151" t="inlineStr">
        <is>
          <t>Audio</t>
        </is>
      </c>
      <c r="H151" t="inlineStr">
        <is>
          <t>P107</t>
        </is>
      </c>
      <c r="I151" t="inlineStr">
        <is>
          <t>AirPods</t>
        </is>
      </c>
      <c r="J151" t="n">
        <v>2</v>
      </c>
      <c r="K151" s="3" t="n">
        <v>179</v>
      </c>
      <c r="L151" s="4" t="n">
        <v>0.15</v>
      </c>
      <c r="M151" s="3" t="n">
        <v>304.3</v>
      </c>
      <c r="N151" s="3" t="n">
        <v>500</v>
      </c>
      <c r="O151" s="2" t="n">
        <v>45916</v>
      </c>
      <c r="P151" s="2" t="n">
        <v>45923</v>
      </c>
      <c r="Q151" t="inlineStr">
        <is>
          <t>UPI</t>
        </is>
      </c>
      <c r="R151" t="inlineStr">
        <is>
          <t>Returning</t>
        </is>
      </c>
      <c r="S151" t="n">
        <v>2</v>
      </c>
      <c r="T151" t="inlineStr">
        <is>
          <t>ok</t>
        </is>
      </c>
    </row>
    <row r="152">
      <c r="A152" t="inlineStr">
        <is>
          <t>O0151</t>
        </is>
      </c>
      <c r="B152" s="2" t="n">
        <v>45758</v>
      </c>
      <c r="C152" t="inlineStr">
        <is>
          <t>North</t>
        </is>
      </c>
      <c r="D152" t="inlineStr">
        <is>
          <t>Illinois</t>
        </is>
      </c>
      <c r="E152" t="inlineStr">
        <is>
          <t>Amit Shah</t>
        </is>
      </c>
      <c r="F152" t="inlineStr">
        <is>
          <t>John Smith</t>
        </is>
      </c>
      <c r="G152" t="inlineStr">
        <is>
          <t>Tablet</t>
        </is>
      </c>
      <c r="H152" t="inlineStr">
        <is>
          <t>P105</t>
        </is>
      </c>
      <c r="I152" t="inlineStr">
        <is>
          <t>iPad Air</t>
        </is>
      </c>
      <c r="J152" t="n">
        <v>3</v>
      </c>
      <c r="K152" s="3" t="n">
        <v>599</v>
      </c>
      <c r="L152" s="4" t="n">
        <v>0.05</v>
      </c>
      <c r="M152" s="3" t="n">
        <v>1707.15</v>
      </c>
      <c r="N152" s="3" t="n">
        <v>1500</v>
      </c>
      <c r="O152" s="2" t="n">
        <v>45763</v>
      </c>
      <c r="P152" s="2" t="n">
        <v>45766</v>
      </c>
      <c r="Q152" t="inlineStr">
        <is>
          <t>UPI</t>
        </is>
      </c>
      <c r="R152" t="inlineStr">
        <is>
          <t>Corporate</t>
        </is>
      </c>
      <c r="S152" t="n">
        <v>5</v>
      </c>
      <c r="T152" t="inlineStr">
        <is>
          <t>urgent</t>
        </is>
      </c>
    </row>
    <row r="153">
      <c r="A153" t="inlineStr">
        <is>
          <t>O0152</t>
        </is>
      </c>
      <c r="B153" s="2" t="n">
        <v>45967</v>
      </c>
      <c r="C153" t="inlineStr">
        <is>
          <t>West</t>
        </is>
      </c>
      <c r="D153" t="inlineStr">
        <is>
          <t>Washington</t>
        </is>
      </c>
      <c r="E153" t="inlineStr">
        <is>
          <t>Amit Shah</t>
        </is>
      </c>
      <c r="F153" t="inlineStr">
        <is>
          <t xml:space="preserve"> Rahul Shah </t>
        </is>
      </c>
      <c r="G153" t="inlineStr">
        <is>
          <t>Accessory</t>
        </is>
      </c>
      <c r="H153" t="inlineStr">
        <is>
          <t>P110</t>
        </is>
      </c>
      <c r="I153" t="inlineStr">
        <is>
          <t>Keyboard</t>
        </is>
      </c>
      <c r="J153" t="n">
        <v>15</v>
      </c>
      <c r="K153" s="3" t="n">
        <v>59</v>
      </c>
      <c r="L153" s="4" t="n">
        <v>0.15</v>
      </c>
      <c r="M153" s="3" t="n">
        <v>752.25</v>
      </c>
      <c r="N153" s="3" t="n">
        <v>300</v>
      </c>
      <c r="O153" s="2" t="n">
        <v>45970</v>
      </c>
      <c r="P153" s="2" t="n">
        <v>45977</v>
      </c>
      <c r="Q153" t="inlineStr">
        <is>
          <t>Credit Card</t>
        </is>
      </c>
      <c r="R153" t="inlineStr">
        <is>
          <t>Corporate</t>
        </is>
      </c>
      <c r="S153" t="n">
        <v>5</v>
      </c>
      <c r="T153" t="inlineStr">
        <is>
          <t>ok</t>
        </is>
      </c>
    </row>
    <row r="154">
      <c r="A154" t="inlineStr">
        <is>
          <t>O0153</t>
        </is>
      </c>
      <c r="B154" s="2" t="n">
        <v>45974</v>
      </c>
      <c r="C154" t="inlineStr">
        <is>
          <t>West</t>
        </is>
      </c>
      <c r="D154" t="inlineStr">
        <is>
          <t>Washington</t>
        </is>
      </c>
      <c r="E154" t="inlineStr">
        <is>
          <t>Rahul Mehta</t>
        </is>
      </c>
      <c r="F154" t="inlineStr">
        <is>
          <t>Sara Khan</t>
        </is>
      </c>
      <c r="G154" t="inlineStr">
        <is>
          <t>Audio</t>
        </is>
      </c>
      <c r="H154" t="inlineStr">
        <is>
          <t>P107</t>
        </is>
      </c>
      <c r="I154" t="inlineStr">
        <is>
          <t>AirPods</t>
        </is>
      </c>
      <c r="J154" t="n">
        <v>15</v>
      </c>
      <c r="K154" s="3" t="n">
        <v>179</v>
      </c>
      <c r="L154" s="4" t="n">
        <v>0.15</v>
      </c>
      <c r="M154" s="3" t="n">
        <v>2282.25</v>
      </c>
      <c r="N154" s="3" t="n">
        <v>750</v>
      </c>
      <c r="O154" s="2" t="n">
        <v>45975</v>
      </c>
      <c r="P154" s="2" t="n">
        <v>45979</v>
      </c>
      <c r="Q154" t="inlineStr">
        <is>
          <t>Bank Transfer</t>
        </is>
      </c>
      <c r="R154" t="inlineStr">
        <is>
          <t>New</t>
        </is>
      </c>
      <c r="S154" t="n">
        <v>4</v>
      </c>
      <c r="T154" t="inlineStr">
        <is>
          <t>ok</t>
        </is>
      </c>
    </row>
    <row r="155">
      <c r="A155" t="inlineStr">
        <is>
          <t>O0154</t>
        </is>
      </c>
      <c r="B155" s="2" t="n">
        <v>45688</v>
      </c>
      <c r="C155" t="inlineStr">
        <is>
          <t>South</t>
        </is>
      </c>
      <c r="D155" t="inlineStr">
        <is>
          <t>Florida</t>
        </is>
      </c>
      <c r="E155" t="inlineStr">
        <is>
          <t>Rahul Mehta</t>
        </is>
      </c>
      <c r="F155" t="inlineStr">
        <is>
          <t>rAhUl shAh</t>
        </is>
      </c>
      <c r="G155" t="inlineStr">
        <is>
          <t>Accessory</t>
        </is>
      </c>
      <c r="H155" t="inlineStr">
        <is>
          <t>P112</t>
        </is>
      </c>
      <c r="I155" t="inlineStr">
        <is>
          <t>PowerBank</t>
        </is>
      </c>
      <c r="J155" t="n">
        <v>7</v>
      </c>
      <c r="K155" s="3" t="n">
        <v>49</v>
      </c>
      <c r="L155" s="4" t="n">
        <v>0.1</v>
      </c>
      <c r="M155" s="3" t="n">
        <v>308.7</v>
      </c>
      <c r="N155" s="3" t="n">
        <v>1000</v>
      </c>
      <c r="O155" s="2" t="n">
        <v>45690</v>
      </c>
      <c r="P155" s="2" t="n">
        <v>45694</v>
      </c>
      <c r="Q155" t="inlineStr">
        <is>
          <t>UPI</t>
        </is>
      </c>
      <c r="R155" t="inlineStr">
        <is>
          <t>Returning</t>
        </is>
      </c>
      <c r="S155" t="n">
        <v>3</v>
      </c>
      <c r="T155" t="inlineStr">
        <is>
          <t>refund pending</t>
        </is>
      </c>
    </row>
    <row r="156">
      <c r="A156" t="inlineStr">
        <is>
          <t>O0155</t>
        </is>
      </c>
      <c r="B156" s="2" t="n">
        <v>45847</v>
      </c>
      <c r="C156" t="inlineStr">
        <is>
          <t>North</t>
        </is>
      </c>
      <c r="D156" t="inlineStr">
        <is>
          <t>Michigan</t>
        </is>
      </c>
      <c r="E156" t="inlineStr">
        <is>
          <t>Amit Shah</t>
        </is>
      </c>
      <c r="F156" t="inlineStr">
        <is>
          <t xml:space="preserve"> Neha  Joshi </t>
        </is>
      </c>
      <c r="G156" t="inlineStr">
        <is>
          <t>Laptop</t>
        </is>
      </c>
      <c r="H156" t="inlineStr">
        <is>
          <t>P103</t>
        </is>
      </c>
      <c r="I156" t="inlineStr">
        <is>
          <t>ThinkPad E14</t>
        </is>
      </c>
      <c r="J156" t="n">
        <v>2</v>
      </c>
      <c r="K156" s="3" t="n">
        <v>899</v>
      </c>
      <c r="L156" s="4" t="n">
        <v>0.05</v>
      </c>
      <c r="M156" s="3" t="n">
        <v>1708.1</v>
      </c>
      <c r="N156" s="3" t="n">
        <v>500</v>
      </c>
      <c r="O156" s="2" t="n">
        <v>45852</v>
      </c>
      <c r="P156" s="2" t="n">
        <v>45857</v>
      </c>
      <c r="Q156" t="inlineStr">
        <is>
          <t>Cash</t>
        </is>
      </c>
      <c r="R156" t="inlineStr">
        <is>
          <t>Returning</t>
        </is>
      </c>
      <c r="S156" t="n">
        <v>2</v>
      </c>
      <c r="T156" t="inlineStr">
        <is>
          <t>urgent</t>
        </is>
      </c>
    </row>
    <row r="157">
      <c r="A157" t="inlineStr">
        <is>
          <t>O0156</t>
        </is>
      </c>
      <c r="B157" s="2" t="n">
        <v>45854</v>
      </c>
      <c r="C157" t="inlineStr">
        <is>
          <t>East</t>
        </is>
      </c>
      <c r="D157" t="inlineStr">
        <is>
          <t>New York</t>
        </is>
      </c>
      <c r="E157" t="inlineStr">
        <is>
          <t>John Smith</t>
        </is>
      </c>
      <c r="F157" t="inlineStr">
        <is>
          <t>PRIYA PATEL</t>
        </is>
      </c>
      <c r="G157" t="inlineStr">
        <is>
          <t>Tablet</t>
        </is>
      </c>
      <c r="H157" t="inlineStr">
        <is>
          <t>P105</t>
        </is>
      </c>
      <c r="I157" t="inlineStr">
        <is>
          <t>iPad Air</t>
        </is>
      </c>
      <c r="J157" t="n">
        <v>4</v>
      </c>
      <c r="K157" s="3" t="n">
        <v>599</v>
      </c>
      <c r="L157" s="4" t="n">
        <v>0.02</v>
      </c>
      <c r="M157" s="3" t="n">
        <v>2348.08</v>
      </c>
      <c r="N157" s="3" t="n">
        <v>5000</v>
      </c>
      <c r="O157" s="2" t="n">
        <v>45859</v>
      </c>
      <c r="P157" s="2" t="n">
        <v>45863</v>
      </c>
      <c r="Q157" t="inlineStr">
        <is>
          <t>Cash</t>
        </is>
      </c>
      <c r="R157" t="inlineStr">
        <is>
          <t>New</t>
        </is>
      </c>
      <c r="S157" t="n">
        <v>2</v>
      </c>
      <c r="T157" t="inlineStr">
        <is>
          <t xml:space="preserve">  follow-up  </t>
        </is>
      </c>
    </row>
    <row r="158">
      <c r="A158" t="inlineStr">
        <is>
          <t>O0157</t>
        </is>
      </c>
      <c r="B158" s="2" t="n">
        <v>45912</v>
      </c>
      <c r="C158" t="inlineStr">
        <is>
          <t>South</t>
        </is>
      </c>
      <c r="D158" t="inlineStr">
        <is>
          <t>Georgia</t>
        </is>
      </c>
      <c r="E158" t="inlineStr">
        <is>
          <t>Priya Patel</t>
        </is>
      </c>
      <c r="F158" t="inlineStr">
        <is>
          <t>rAhUl shAh</t>
        </is>
      </c>
      <c r="G158" t="inlineStr">
        <is>
          <t>Tablet</t>
        </is>
      </c>
      <c r="H158" t="inlineStr">
        <is>
          <t>P105</t>
        </is>
      </c>
      <c r="I158" t="inlineStr">
        <is>
          <t>iPad Air</t>
        </is>
      </c>
      <c r="J158" t="n">
        <v>7</v>
      </c>
      <c r="K158" s="3" t="n">
        <v>599</v>
      </c>
      <c r="L158" s="4" t="n">
        <v>0.15</v>
      </c>
      <c r="M158" s="3" t="n">
        <v>3564.05</v>
      </c>
      <c r="N158" s="3" t="n">
        <v>1000</v>
      </c>
      <c r="O158" s="2" t="n">
        <v>45913</v>
      </c>
      <c r="P158" s="2" t="n">
        <v>45914</v>
      </c>
      <c r="Q158" t="inlineStr">
        <is>
          <t>Cash</t>
        </is>
      </c>
      <c r="R158" t="inlineStr">
        <is>
          <t>New</t>
        </is>
      </c>
      <c r="S158" t="n">
        <v>1</v>
      </c>
      <c r="T158" t="inlineStr">
        <is>
          <t>ok</t>
        </is>
      </c>
    </row>
    <row r="159">
      <c r="A159" t="inlineStr">
        <is>
          <t>O0158</t>
        </is>
      </c>
      <c r="B159" s="2" t="n">
        <v>46002</v>
      </c>
      <c r="C159" t="inlineStr">
        <is>
          <t>South</t>
        </is>
      </c>
      <c r="D159" t="inlineStr">
        <is>
          <t>Texas</t>
        </is>
      </c>
      <c r="E159" t="inlineStr">
        <is>
          <t>Neha Joshi</t>
        </is>
      </c>
      <c r="F159" t="inlineStr">
        <is>
          <t xml:space="preserve"> Rahul Shah </t>
        </is>
      </c>
      <c r="G159" t="inlineStr">
        <is>
          <t>Accessory</t>
        </is>
      </c>
      <c r="H159" t="inlineStr">
        <is>
          <t>P111</t>
        </is>
      </c>
      <c r="I159" t="inlineStr">
        <is>
          <t>Mouse</t>
        </is>
      </c>
      <c r="J159" t="n">
        <v>9</v>
      </c>
      <c r="K159" s="3" t="n">
        <v>39</v>
      </c>
      <c r="L159" s="4" t="n">
        <v>0</v>
      </c>
      <c r="M159" s="3" t="n">
        <v>351</v>
      </c>
      <c r="N159" s="3" t="n">
        <v>5000</v>
      </c>
      <c r="O159" s="2" t="n">
        <v>46006</v>
      </c>
      <c r="P159" s="2" t="n">
        <v>46009</v>
      </c>
      <c r="Q159" t="inlineStr">
        <is>
          <t>UPI</t>
        </is>
      </c>
      <c r="R159" t="inlineStr">
        <is>
          <t>Returning</t>
        </is>
      </c>
      <c r="S159" t="n">
        <v>3</v>
      </c>
      <c r="T159" t="inlineStr"/>
    </row>
    <row r="160">
      <c r="A160" t="inlineStr">
        <is>
          <t>O0159</t>
        </is>
      </c>
      <c r="B160" s="2" t="n">
        <v>45863</v>
      </c>
      <c r="C160" t="inlineStr">
        <is>
          <t>South</t>
        </is>
      </c>
      <c r="D160" t="inlineStr">
        <is>
          <t>Georgia</t>
        </is>
      </c>
      <c r="E160" t="inlineStr">
        <is>
          <t>Rahul Mehta</t>
        </is>
      </c>
      <c r="F160" t="inlineStr">
        <is>
          <t>John Smith</t>
        </is>
      </c>
      <c r="G160" t="inlineStr">
        <is>
          <t>Mobile</t>
        </is>
      </c>
      <c r="H160" t="inlineStr">
        <is>
          <t>P101</t>
        </is>
      </c>
      <c r="I160" t="inlineStr">
        <is>
          <t>iPhone 15</t>
        </is>
      </c>
      <c r="J160" t="n">
        <v>9</v>
      </c>
      <c r="K160" s="3" t="n">
        <v>699</v>
      </c>
      <c r="L160" s="4" t="n">
        <v>0.02</v>
      </c>
      <c r="M160" s="3" t="n">
        <v>6165.18</v>
      </c>
      <c r="N160" s="3" t="n">
        <v>750</v>
      </c>
      <c r="O160" s="2" t="n">
        <v>45864</v>
      </c>
      <c r="P160" s="2" t="n">
        <v>45869</v>
      </c>
      <c r="Q160" t="inlineStr">
        <is>
          <t>Credit Card</t>
        </is>
      </c>
      <c r="R160" t="inlineStr">
        <is>
          <t>Returning</t>
        </is>
      </c>
      <c r="S160" t="n">
        <v>5</v>
      </c>
      <c r="T160" t="inlineStr">
        <is>
          <t xml:space="preserve">  follow-up  </t>
        </is>
      </c>
    </row>
    <row r="161">
      <c r="A161" t="inlineStr">
        <is>
          <t>O0160</t>
        </is>
      </c>
      <c r="B161" s="2" t="n">
        <v>45970</v>
      </c>
      <c r="C161" t="inlineStr">
        <is>
          <t>North</t>
        </is>
      </c>
      <c r="D161" t="inlineStr">
        <is>
          <t>Minnesota</t>
        </is>
      </c>
      <c r="E161" t="inlineStr">
        <is>
          <t>John Smith</t>
        </is>
      </c>
      <c r="F161" t="inlineStr">
        <is>
          <t>PRIYA PATEL</t>
        </is>
      </c>
      <c r="G161" t="inlineStr">
        <is>
          <t>Accessory</t>
        </is>
      </c>
      <c r="H161" t="inlineStr">
        <is>
          <t>P111</t>
        </is>
      </c>
      <c r="I161" t="inlineStr">
        <is>
          <t>Mouse</t>
        </is>
      </c>
      <c r="J161" t="n">
        <v>2</v>
      </c>
      <c r="K161" s="3" t="n">
        <v>39</v>
      </c>
      <c r="L161" s="4" t="n">
        <v>0.1</v>
      </c>
      <c r="M161" s="3" t="n">
        <v>70.2</v>
      </c>
      <c r="N161" s="3" t="n">
        <v>750</v>
      </c>
      <c r="O161" s="2" t="n">
        <v>45971</v>
      </c>
      <c r="P161" s="2" t="n">
        <v>45973</v>
      </c>
      <c r="Q161" t="inlineStr">
        <is>
          <t>Cash</t>
        </is>
      </c>
      <c r="R161" t="inlineStr">
        <is>
          <t>New</t>
        </is>
      </c>
      <c r="S161" t="n">
        <v>2</v>
      </c>
      <c r="T161" t="inlineStr">
        <is>
          <t>NORMAL</t>
        </is>
      </c>
    </row>
    <row r="162">
      <c r="A162" t="inlineStr">
        <is>
          <t>O0161</t>
        </is>
      </c>
      <c r="B162" s="2" t="n">
        <v>45681</v>
      </c>
      <c r="C162" t="inlineStr">
        <is>
          <t>South</t>
        </is>
      </c>
      <c r="D162" t="inlineStr">
        <is>
          <t>Texas</t>
        </is>
      </c>
      <c r="E162" t="inlineStr">
        <is>
          <t>John Smith</t>
        </is>
      </c>
      <c r="F162" t="inlineStr">
        <is>
          <t xml:space="preserve"> Neha  Joshi </t>
        </is>
      </c>
      <c r="G162" t="inlineStr">
        <is>
          <t>Mobile</t>
        </is>
      </c>
      <c r="H162" t="inlineStr">
        <is>
          <t>P101</t>
        </is>
      </c>
      <c r="I162" t="inlineStr">
        <is>
          <t>iPhone 15</t>
        </is>
      </c>
      <c r="J162" t="n">
        <v>12</v>
      </c>
      <c r="K162" s="3" t="n">
        <v>699</v>
      </c>
      <c r="L162" s="4" t="n">
        <v>0.05</v>
      </c>
      <c r="M162" s="3" t="n">
        <v>7968.6</v>
      </c>
      <c r="N162" s="3" t="n">
        <v>5000</v>
      </c>
      <c r="O162" s="2" t="n">
        <v>45682</v>
      </c>
      <c r="P162" s="2" t="n">
        <v>45684</v>
      </c>
      <c r="Q162" t="inlineStr">
        <is>
          <t>Bank Transfer</t>
        </is>
      </c>
      <c r="R162" t="inlineStr">
        <is>
          <t>New</t>
        </is>
      </c>
      <c r="S162" t="n">
        <v>5</v>
      </c>
      <c r="T162" t="inlineStr">
        <is>
          <t>NORMAL</t>
        </is>
      </c>
    </row>
    <row r="163">
      <c r="A163" t="inlineStr">
        <is>
          <t>O0162</t>
        </is>
      </c>
      <c r="B163" s="2" t="n">
        <v>45821</v>
      </c>
      <c r="C163" t="inlineStr">
        <is>
          <t>West</t>
        </is>
      </c>
      <c r="D163" t="inlineStr">
        <is>
          <t>Texas</t>
        </is>
      </c>
      <c r="E163" t="inlineStr">
        <is>
          <t>John Smith</t>
        </is>
      </c>
      <c r="F163" t="inlineStr">
        <is>
          <t>PRIYA PATEL</t>
        </is>
      </c>
      <c r="G163" t="inlineStr">
        <is>
          <t>Accessory</t>
        </is>
      </c>
      <c r="H163" t="inlineStr">
        <is>
          <t>P110</t>
        </is>
      </c>
      <c r="I163" t="inlineStr">
        <is>
          <t>Keyboard</t>
        </is>
      </c>
      <c r="J163" t="n">
        <v>10</v>
      </c>
      <c r="K163" s="3" t="n">
        <v>59</v>
      </c>
      <c r="L163" s="4" t="n">
        <v>0.05</v>
      </c>
      <c r="M163" s="3" t="n">
        <v>560.5</v>
      </c>
      <c r="N163" s="3" t="n">
        <v>1500</v>
      </c>
      <c r="O163" s="2" t="n">
        <v>45823</v>
      </c>
      <c r="P163" s="2" t="n">
        <v>45827</v>
      </c>
      <c r="Q163" t="inlineStr">
        <is>
          <t>Bank Transfer</t>
        </is>
      </c>
      <c r="R163" t="inlineStr">
        <is>
          <t>Corporate</t>
        </is>
      </c>
      <c r="S163" t="n">
        <v>5</v>
      </c>
      <c r="T163" t="inlineStr">
        <is>
          <t>ok</t>
        </is>
      </c>
    </row>
    <row r="164">
      <c r="A164" t="inlineStr">
        <is>
          <t>O0163</t>
        </is>
      </c>
      <c r="B164" s="2" t="n">
        <v>45827</v>
      </c>
      <c r="C164" t="inlineStr">
        <is>
          <t>South</t>
        </is>
      </c>
      <c r="D164" t="inlineStr">
        <is>
          <t>Florida</t>
        </is>
      </c>
      <c r="E164" t="inlineStr">
        <is>
          <t>Sara Khan</t>
        </is>
      </c>
      <c r="F164" t="inlineStr">
        <is>
          <t>Sara Khan</t>
        </is>
      </c>
      <c r="G164" t="inlineStr">
        <is>
          <t>Tablet</t>
        </is>
      </c>
      <c r="H164" t="inlineStr">
        <is>
          <t>P106</t>
        </is>
      </c>
      <c r="I164" t="inlineStr">
        <is>
          <t>Galaxy Tab</t>
        </is>
      </c>
      <c r="J164" t="n">
        <v>10</v>
      </c>
      <c r="K164" s="3" t="n">
        <v>499</v>
      </c>
      <c r="L164" s="4" t="n">
        <v>0.05</v>
      </c>
      <c r="M164" s="3" t="n">
        <v>4740.5</v>
      </c>
      <c r="N164" s="3" t="n">
        <v>5000</v>
      </c>
      <c r="O164" s="2" t="n">
        <v>45828</v>
      </c>
      <c r="P164" s="2" t="n">
        <v>45832</v>
      </c>
      <c r="Q164" t="inlineStr">
        <is>
          <t>Credit Card</t>
        </is>
      </c>
      <c r="R164" t="inlineStr">
        <is>
          <t>Corporate</t>
        </is>
      </c>
      <c r="S164" t="n">
        <v>4</v>
      </c>
      <c r="T164" t="inlineStr">
        <is>
          <t>ok</t>
        </is>
      </c>
    </row>
    <row r="165">
      <c r="A165" t="inlineStr">
        <is>
          <t>O0164</t>
        </is>
      </c>
      <c r="B165" s="2" t="n">
        <v>45956</v>
      </c>
      <c r="C165" t="inlineStr">
        <is>
          <t>West</t>
        </is>
      </c>
      <c r="D165" t="inlineStr">
        <is>
          <t>Washington</t>
        </is>
      </c>
      <c r="E165" t="inlineStr">
        <is>
          <t>Priya Patel</t>
        </is>
      </c>
      <c r="F165" t="inlineStr">
        <is>
          <t xml:space="preserve"> Neha  Joshi </t>
        </is>
      </c>
      <c r="G165" t="inlineStr">
        <is>
          <t>Mobile</t>
        </is>
      </c>
      <c r="H165" t="inlineStr">
        <is>
          <t>P101</t>
        </is>
      </c>
      <c r="I165" t="inlineStr">
        <is>
          <t>iPhone 15</t>
        </is>
      </c>
      <c r="J165" t="n">
        <v>9</v>
      </c>
      <c r="K165" s="3" t="n">
        <v>699</v>
      </c>
      <c r="L165" s="4" t="n">
        <v>0.15</v>
      </c>
      <c r="M165" s="3" t="n">
        <v>5347.35</v>
      </c>
      <c r="N165" s="3" t="n">
        <v>5000</v>
      </c>
      <c r="O165" s="2" t="n">
        <v>45960</v>
      </c>
      <c r="P165" s="2" t="n">
        <v>45962</v>
      </c>
      <c r="Q165" t="inlineStr">
        <is>
          <t>UPI</t>
        </is>
      </c>
      <c r="R165" t="inlineStr">
        <is>
          <t>New</t>
        </is>
      </c>
      <c r="S165" t="n">
        <v>5</v>
      </c>
      <c r="T165" t="inlineStr">
        <is>
          <t>refund pending</t>
        </is>
      </c>
    </row>
    <row r="166">
      <c r="A166" t="inlineStr">
        <is>
          <t>O0165</t>
        </is>
      </c>
      <c r="B166" s="2" t="n">
        <v>45883</v>
      </c>
      <c r="C166" t="inlineStr">
        <is>
          <t>East</t>
        </is>
      </c>
      <c r="D166" t="inlineStr">
        <is>
          <t>New York</t>
        </is>
      </c>
      <c r="E166" t="inlineStr">
        <is>
          <t>Neha Joshi</t>
        </is>
      </c>
      <c r="F166" t="inlineStr">
        <is>
          <t>rAhUl shAh</t>
        </is>
      </c>
      <c r="G166" t="inlineStr">
        <is>
          <t>Mobile</t>
        </is>
      </c>
      <c r="H166" t="inlineStr">
        <is>
          <t>P101</t>
        </is>
      </c>
      <c r="I166" t="inlineStr">
        <is>
          <t>iPhone 15</t>
        </is>
      </c>
      <c r="J166" t="n">
        <v>3</v>
      </c>
      <c r="K166" s="3" t="n">
        <v>699</v>
      </c>
      <c r="L166" s="4" t="n">
        <v>0.1</v>
      </c>
      <c r="M166" s="3" t="n">
        <v>1887.3</v>
      </c>
      <c r="N166" s="3" t="n">
        <v>2500</v>
      </c>
      <c r="O166" s="2" t="n">
        <v>45886</v>
      </c>
      <c r="P166" s="2" t="n">
        <v>45890</v>
      </c>
      <c r="Q166" t="inlineStr">
        <is>
          <t>Bank Transfer</t>
        </is>
      </c>
      <c r="R166" t="inlineStr">
        <is>
          <t>Corporate</t>
        </is>
      </c>
      <c r="S166" t="n">
        <v>1</v>
      </c>
      <c r="T166" t="inlineStr">
        <is>
          <t>refund pending</t>
        </is>
      </c>
    </row>
    <row r="167">
      <c r="A167" t="inlineStr">
        <is>
          <t>O0166</t>
        </is>
      </c>
      <c r="B167" s="2" t="n">
        <v>45945</v>
      </c>
      <c r="C167" t="inlineStr">
        <is>
          <t>West</t>
        </is>
      </c>
      <c r="D167" t="inlineStr">
        <is>
          <t>Washington</t>
        </is>
      </c>
      <c r="E167" t="inlineStr">
        <is>
          <t>Priya Patel</t>
        </is>
      </c>
      <c r="F167" t="inlineStr">
        <is>
          <t>PRIYA PATEL</t>
        </is>
      </c>
      <c r="G167" t="inlineStr">
        <is>
          <t>Laptop</t>
        </is>
      </c>
      <c r="H167" t="inlineStr">
        <is>
          <t>P104</t>
        </is>
      </c>
      <c r="I167" t="inlineStr">
        <is>
          <t>Inspiron 15</t>
        </is>
      </c>
      <c r="J167" t="n">
        <v>8</v>
      </c>
      <c r="K167" s="3" t="n">
        <v>749</v>
      </c>
      <c r="L167" s="4" t="n">
        <v>0.15</v>
      </c>
      <c r="M167" s="3" t="n">
        <v>5093.2</v>
      </c>
      <c r="N167" s="3" t="n">
        <v>1000</v>
      </c>
      <c r="O167" s="2" t="n">
        <v>45948</v>
      </c>
      <c r="P167" s="2" t="n">
        <v>45954</v>
      </c>
      <c r="Q167" t="inlineStr">
        <is>
          <t>Bank Transfer</t>
        </is>
      </c>
      <c r="R167" t="inlineStr">
        <is>
          <t>Corporate</t>
        </is>
      </c>
      <c r="S167" t="n">
        <v>3</v>
      </c>
      <c r="T167" t="inlineStr">
        <is>
          <t>NORMAL</t>
        </is>
      </c>
    </row>
    <row r="168">
      <c r="A168" t="inlineStr">
        <is>
          <t>O0167</t>
        </is>
      </c>
      <c r="B168" s="2" t="n">
        <v>46006</v>
      </c>
      <c r="C168" t="inlineStr">
        <is>
          <t>North</t>
        </is>
      </c>
      <c r="D168" t="inlineStr">
        <is>
          <t>Minnesota</t>
        </is>
      </c>
      <c r="E168" t="inlineStr">
        <is>
          <t>John Smith</t>
        </is>
      </c>
      <c r="F168" t="inlineStr">
        <is>
          <t>PRIYA PATEL</t>
        </is>
      </c>
      <c r="G168" t="inlineStr">
        <is>
          <t>Accessory</t>
        </is>
      </c>
      <c r="H168" t="inlineStr">
        <is>
          <t>P112</t>
        </is>
      </c>
      <c r="I168" t="inlineStr">
        <is>
          <t>PowerBank</t>
        </is>
      </c>
      <c r="J168" t="n">
        <v>8</v>
      </c>
      <c r="K168" s="3" t="n">
        <v>49</v>
      </c>
      <c r="L168" s="4" t="n">
        <v>0.02</v>
      </c>
      <c r="M168" s="3" t="n">
        <v>384.16</v>
      </c>
      <c r="N168" s="3" t="n">
        <v>500</v>
      </c>
      <c r="O168" s="2" t="n">
        <v>46009</v>
      </c>
      <c r="P168" s="2" t="n">
        <v>46014</v>
      </c>
      <c r="Q168" t="inlineStr">
        <is>
          <t>Cash</t>
        </is>
      </c>
      <c r="R168" t="inlineStr">
        <is>
          <t>New</t>
        </is>
      </c>
      <c r="S168" t="n">
        <v>3</v>
      </c>
      <c r="T168" t="inlineStr"/>
    </row>
    <row r="169">
      <c r="A169" t="inlineStr">
        <is>
          <t>O0168</t>
        </is>
      </c>
      <c r="B169" s="2" t="n">
        <v>46011</v>
      </c>
      <c r="C169" t="inlineStr">
        <is>
          <t>North</t>
        </is>
      </c>
      <c r="D169" t="inlineStr">
        <is>
          <t>Minnesota</t>
        </is>
      </c>
      <c r="E169" t="inlineStr">
        <is>
          <t>Rahul Mehta</t>
        </is>
      </c>
      <c r="F169" t="inlineStr">
        <is>
          <t>Sara Khan</t>
        </is>
      </c>
      <c r="G169" t="inlineStr">
        <is>
          <t>Laptop</t>
        </is>
      </c>
      <c r="H169" t="inlineStr">
        <is>
          <t>P104</t>
        </is>
      </c>
      <c r="I169" t="inlineStr">
        <is>
          <t>Inspiron 15</t>
        </is>
      </c>
      <c r="J169" t="n">
        <v>8</v>
      </c>
      <c r="K169" s="3" t="n">
        <v>749</v>
      </c>
      <c r="L169" s="4" t="n">
        <v>0.05</v>
      </c>
      <c r="M169" s="3" t="n">
        <v>5692.4</v>
      </c>
      <c r="N169" s="3" t="n">
        <v>1500</v>
      </c>
      <c r="O169" s="2" t="n">
        <v>46015</v>
      </c>
      <c r="P169" s="2" t="n">
        <v>46018</v>
      </c>
      <c r="Q169" t="inlineStr">
        <is>
          <t>Cash</t>
        </is>
      </c>
      <c r="R169" t="inlineStr">
        <is>
          <t>New</t>
        </is>
      </c>
      <c r="S169" t="n">
        <v>5</v>
      </c>
      <c r="T169" t="inlineStr">
        <is>
          <t>refund pending</t>
        </is>
      </c>
    </row>
    <row r="170">
      <c r="A170" t="inlineStr">
        <is>
          <t>O0169</t>
        </is>
      </c>
      <c r="B170" s="2" t="n">
        <v>45732</v>
      </c>
      <c r="C170" t="inlineStr">
        <is>
          <t>South</t>
        </is>
      </c>
      <c r="D170" t="inlineStr">
        <is>
          <t>Georgia</t>
        </is>
      </c>
      <c r="E170" t="inlineStr">
        <is>
          <t>Sara Khan</t>
        </is>
      </c>
      <c r="F170" t="inlineStr">
        <is>
          <t xml:space="preserve"> Neha  Joshi </t>
        </is>
      </c>
      <c r="G170" t="inlineStr">
        <is>
          <t>Tablet</t>
        </is>
      </c>
      <c r="H170" t="inlineStr">
        <is>
          <t>P106</t>
        </is>
      </c>
      <c r="I170" t="inlineStr">
        <is>
          <t>Galaxy Tab</t>
        </is>
      </c>
      <c r="J170" t="n">
        <v>5</v>
      </c>
      <c r="K170" s="3" t="n">
        <v>499</v>
      </c>
      <c r="L170" s="4" t="n">
        <v>0</v>
      </c>
      <c r="M170" s="3" t="n">
        <v>2495</v>
      </c>
      <c r="N170" s="3" t="n">
        <v>750</v>
      </c>
      <c r="O170" s="2" t="n">
        <v>45735</v>
      </c>
      <c r="P170" s="2" t="n">
        <v>45736</v>
      </c>
      <c r="Q170" t="inlineStr">
        <is>
          <t>Cash</t>
        </is>
      </c>
      <c r="R170" t="inlineStr">
        <is>
          <t>Corporate</t>
        </is>
      </c>
      <c r="S170" t="n">
        <v>4</v>
      </c>
      <c r="T170" t="inlineStr">
        <is>
          <t>urgent</t>
        </is>
      </c>
    </row>
    <row r="171">
      <c r="A171" t="inlineStr">
        <is>
          <t>O0170</t>
        </is>
      </c>
      <c r="B171" s="2" t="n">
        <v>45945</v>
      </c>
      <c r="C171" t="inlineStr">
        <is>
          <t>West</t>
        </is>
      </c>
      <c r="D171" t="inlineStr">
        <is>
          <t>Washington</t>
        </is>
      </c>
      <c r="E171" t="inlineStr">
        <is>
          <t>Priya Patel</t>
        </is>
      </c>
      <c r="F171" t="inlineStr">
        <is>
          <t>John Smith</t>
        </is>
      </c>
      <c r="G171" t="inlineStr">
        <is>
          <t>Tablet</t>
        </is>
      </c>
      <c r="H171" t="inlineStr">
        <is>
          <t>P105</t>
        </is>
      </c>
      <c r="I171" t="inlineStr">
        <is>
          <t>iPad Air</t>
        </is>
      </c>
      <c r="J171" t="n">
        <v>2</v>
      </c>
      <c r="K171" s="3" t="n">
        <v>599</v>
      </c>
      <c r="L171" s="4" t="n">
        <v>0.15</v>
      </c>
      <c r="M171" s="3" t="n">
        <v>1018.3</v>
      </c>
      <c r="N171" s="3" t="n">
        <v>2500</v>
      </c>
      <c r="O171" s="2" t="n">
        <v>45948</v>
      </c>
      <c r="P171" s="2" t="n">
        <v>45950</v>
      </c>
      <c r="Q171" t="inlineStr">
        <is>
          <t>UPI</t>
        </is>
      </c>
      <c r="R171" t="inlineStr">
        <is>
          <t>New</t>
        </is>
      </c>
      <c r="S171" t="n">
        <v>5</v>
      </c>
      <c r="T171" t="inlineStr">
        <is>
          <t>urgent</t>
        </is>
      </c>
    </row>
    <row r="172">
      <c r="A172" t="inlineStr">
        <is>
          <t>O0171</t>
        </is>
      </c>
      <c r="B172" s="2" t="n">
        <v>45869</v>
      </c>
      <c r="C172" t="inlineStr">
        <is>
          <t>West</t>
        </is>
      </c>
      <c r="D172" t="inlineStr">
        <is>
          <t>California</t>
        </is>
      </c>
      <c r="E172" t="inlineStr">
        <is>
          <t>Amit Shah</t>
        </is>
      </c>
      <c r="F172" t="inlineStr">
        <is>
          <t>rAhUl shAh</t>
        </is>
      </c>
      <c r="G172" t="inlineStr">
        <is>
          <t>Mobile</t>
        </is>
      </c>
      <c r="H172" t="inlineStr">
        <is>
          <t>P102</t>
        </is>
      </c>
      <c r="I172" t="inlineStr">
        <is>
          <t>Galaxy S24</t>
        </is>
      </c>
      <c r="J172" t="n">
        <v>8</v>
      </c>
      <c r="K172" s="3" t="n">
        <v>799</v>
      </c>
      <c r="L172" s="4" t="n">
        <v>0</v>
      </c>
      <c r="M172" s="3" t="n">
        <v>6392</v>
      </c>
      <c r="N172" s="3" t="n">
        <v>2500</v>
      </c>
      <c r="O172" s="2" t="n">
        <v>45872</v>
      </c>
      <c r="P172" s="2" t="n">
        <v>45878</v>
      </c>
      <c r="Q172" t="inlineStr">
        <is>
          <t>UPI</t>
        </is>
      </c>
      <c r="R172" t="inlineStr">
        <is>
          <t>Returning</t>
        </is>
      </c>
      <c r="S172" t="n">
        <v>4</v>
      </c>
      <c r="T172" t="inlineStr">
        <is>
          <t xml:space="preserve">  follow-up  </t>
        </is>
      </c>
    </row>
    <row r="173">
      <c r="A173" t="inlineStr">
        <is>
          <t>O0172</t>
        </is>
      </c>
      <c r="B173" s="2" t="n">
        <v>45804</v>
      </c>
      <c r="C173" t="inlineStr">
        <is>
          <t>West</t>
        </is>
      </c>
      <c r="D173" t="inlineStr">
        <is>
          <t>Texas</t>
        </is>
      </c>
      <c r="E173" t="inlineStr">
        <is>
          <t>Sara Khan</t>
        </is>
      </c>
      <c r="F173" t="inlineStr">
        <is>
          <t>John Smith</t>
        </is>
      </c>
      <c r="G173" t="inlineStr">
        <is>
          <t>Tablet</t>
        </is>
      </c>
      <c r="H173" t="inlineStr">
        <is>
          <t>P106</t>
        </is>
      </c>
      <c r="I173" t="inlineStr">
        <is>
          <t>Galaxy Tab</t>
        </is>
      </c>
      <c r="J173" t="n">
        <v>2</v>
      </c>
      <c r="K173" s="3" t="n">
        <v>499</v>
      </c>
      <c r="L173" s="4" t="n">
        <v>0.15</v>
      </c>
      <c r="M173" s="3" t="n">
        <v>848.3</v>
      </c>
      <c r="N173" s="3" t="n">
        <v>500</v>
      </c>
      <c r="O173" s="2" t="n">
        <v>45805</v>
      </c>
      <c r="P173" s="2" t="n">
        <v>45812</v>
      </c>
      <c r="Q173" t="inlineStr">
        <is>
          <t>Credit Card</t>
        </is>
      </c>
      <c r="R173" t="inlineStr">
        <is>
          <t>New</t>
        </is>
      </c>
      <c r="S173" t="n">
        <v>4</v>
      </c>
      <c r="T173" t="inlineStr"/>
    </row>
    <row r="174">
      <c r="A174" t="inlineStr">
        <is>
          <t>O0173</t>
        </is>
      </c>
      <c r="B174" s="2" t="n">
        <v>45911</v>
      </c>
      <c r="C174" t="inlineStr">
        <is>
          <t>West</t>
        </is>
      </c>
      <c r="D174" t="inlineStr">
        <is>
          <t>California</t>
        </is>
      </c>
      <c r="E174" t="inlineStr">
        <is>
          <t>Rahul Mehta</t>
        </is>
      </c>
      <c r="F174" t="inlineStr">
        <is>
          <t xml:space="preserve"> Rahul Shah </t>
        </is>
      </c>
      <c r="G174" t="inlineStr">
        <is>
          <t>Audio</t>
        </is>
      </c>
      <c r="H174" t="inlineStr">
        <is>
          <t>P107</t>
        </is>
      </c>
      <c r="I174" t="inlineStr">
        <is>
          <t>AirPods</t>
        </is>
      </c>
      <c r="J174" t="n">
        <v>14</v>
      </c>
      <c r="K174" s="3" t="n">
        <v>179</v>
      </c>
      <c r="L174" s="4" t="n">
        <v>0.05</v>
      </c>
      <c r="M174" s="3" t="n">
        <v>2380.7</v>
      </c>
      <c r="N174" s="3" t="n">
        <v>300</v>
      </c>
      <c r="O174" s="2" t="n">
        <v>45913</v>
      </c>
      <c r="P174" s="2" t="n">
        <v>45919</v>
      </c>
      <c r="Q174" t="inlineStr">
        <is>
          <t>Credit Card</t>
        </is>
      </c>
      <c r="R174" t="inlineStr">
        <is>
          <t>Returning</t>
        </is>
      </c>
      <c r="S174" t="n">
        <v>3</v>
      </c>
      <c r="T174" t="inlineStr">
        <is>
          <t xml:space="preserve">  follow-up  </t>
        </is>
      </c>
    </row>
    <row r="175">
      <c r="A175" t="inlineStr">
        <is>
          <t>O0174</t>
        </is>
      </c>
      <c r="B175" s="2" t="n">
        <v>45897</v>
      </c>
      <c r="C175" t="inlineStr">
        <is>
          <t>South</t>
        </is>
      </c>
      <c r="D175" t="inlineStr">
        <is>
          <t>Florida</t>
        </is>
      </c>
      <c r="E175" t="inlineStr">
        <is>
          <t>Sara Khan</t>
        </is>
      </c>
      <c r="F175" t="inlineStr">
        <is>
          <t>rAhUl shAh</t>
        </is>
      </c>
      <c r="G175" t="inlineStr">
        <is>
          <t>Monitor</t>
        </is>
      </c>
      <c r="H175" t="inlineStr">
        <is>
          <t>P109</t>
        </is>
      </c>
      <c r="I175" t="inlineStr">
        <is>
          <t>Monitor 24</t>
        </is>
      </c>
      <c r="J175" t="n">
        <v>13</v>
      </c>
      <c r="K175" s="3" t="n">
        <v>229</v>
      </c>
      <c r="L175" s="4" t="n">
        <v>0</v>
      </c>
      <c r="M175" s="3" t="n">
        <v>2977</v>
      </c>
      <c r="N175" s="3" t="n">
        <v>750</v>
      </c>
      <c r="O175" s="2" t="n">
        <v>45900</v>
      </c>
      <c r="P175" s="2" t="n">
        <v>45902</v>
      </c>
      <c r="Q175" t="inlineStr">
        <is>
          <t>Bank Transfer</t>
        </is>
      </c>
      <c r="R175" t="inlineStr">
        <is>
          <t>Corporate</t>
        </is>
      </c>
      <c r="S175" t="n">
        <v>3</v>
      </c>
      <c r="T175" t="inlineStr">
        <is>
          <t>refund pending</t>
        </is>
      </c>
    </row>
    <row r="176">
      <c r="A176" t="inlineStr">
        <is>
          <t>O0175</t>
        </is>
      </c>
      <c r="B176" s="2" t="n">
        <v>45830</v>
      </c>
      <c r="C176" t="inlineStr">
        <is>
          <t>West</t>
        </is>
      </c>
      <c r="D176" t="inlineStr">
        <is>
          <t>California</t>
        </is>
      </c>
      <c r="E176" t="inlineStr">
        <is>
          <t>Sara Khan</t>
        </is>
      </c>
      <c r="F176" t="inlineStr">
        <is>
          <t>John Smith</t>
        </is>
      </c>
      <c r="G176" t="inlineStr">
        <is>
          <t>Accessory</t>
        </is>
      </c>
      <c r="H176" t="inlineStr">
        <is>
          <t>P112</t>
        </is>
      </c>
      <c r="I176" t="inlineStr">
        <is>
          <t>PowerBank</t>
        </is>
      </c>
      <c r="J176" t="n">
        <v>11</v>
      </c>
      <c r="K176" s="3" t="n">
        <v>49</v>
      </c>
      <c r="L176" s="4" t="n">
        <v>0.02</v>
      </c>
      <c r="M176" s="3" t="n">
        <v>528.22</v>
      </c>
      <c r="N176" s="3" t="n">
        <v>500</v>
      </c>
      <c r="O176" s="2" t="n">
        <v>45833</v>
      </c>
      <c r="P176" s="2" t="n">
        <v>45838</v>
      </c>
      <c r="Q176" t="inlineStr">
        <is>
          <t>Bank Transfer</t>
        </is>
      </c>
      <c r="R176" t="inlineStr">
        <is>
          <t>Returning</t>
        </is>
      </c>
      <c r="S176" t="n">
        <v>5</v>
      </c>
      <c r="T176" t="inlineStr">
        <is>
          <t>ok</t>
        </is>
      </c>
    </row>
    <row r="177">
      <c r="A177" t="inlineStr">
        <is>
          <t>O0176</t>
        </is>
      </c>
      <c r="B177" s="2" t="n">
        <v>45706</v>
      </c>
      <c r="C177" t="inlineStr">
        <is>
          <t>East</t>
        </is>
      </c>
      <c r="D177" t="inlineStr">
        <is>
          <t>Massachusetts</t>
        </is>
      </c>
      <c r="E177" t="inlineStr">
        <is>
          <t>Rahul Mehta</t>
        </is>
      </c>
      <c r="F177" t="inlineStr">
        <is>
          <t xml:space="preserve"> Rahul Shah </t>
        </is>
      </c>
      <c r="G177" t="inlineStr">
        <is>
          <t>Accessory</t>
        </is>
      </c>
      <c r="H177" t="inlineStr">
        <is>
          <t>P111</t>
        </is>
      </c>
      <c r="I177" t="inlineStr">
        <is>
          <t>Mouse</t>
        </is>
      </c>
      <c r="J177" t="n">
        <v>8</v>
      </c>
      <c r="K177" s="3" t="n">
        <v>39</v>
      </c>
      <c r="L177" s="4" t="n">
        <v>0.05</v>
      </c>
      <c r="M177" s="3" t="n">
        <v>296.4</v>
      </c>
      <c r="N177" s="3" t="n">
        <v>500</v>
      </c>
      <c r="O177" s="2" t="n">
        <v>45708</v>
      </c>
      <c r="P177" s="2" t="n">
        <v>45710</v>
      </c>
      <c r="Q177" t="inlineStr">
        <is>
          <t>Bank Transfer</t>
        </is>
      </c>
      <c r="R177" t="inlineStr">
        <is>
          <t>New</t>
        </is>
      </c>
      <c r="S177" t="n">
        <v>4</v>
      </c>
      <c r="T177" t="inlineStr"/>
    </row>
    <row r="178">
      <c r="A178" t="inlineStr">
        <is>
          <t>O0177</t>
        </is>
      </c>
      <c r="B178" s="2" t="n">
        <v>45956</v>
      </c>
      <c r="C178" t="inlineStr">
        <is>
          <t>North</t>
        </is>
      </c>
      <c r="D178" t="inlineStr">
        <is>
          <t>Michigan</t>
        </is>
      </c>
      <c r="E178" t="inlineStr">
        <is>
          <t>Amit Shah</t>
        </is>
      </c>
      <c r="F178" t="inlineStr">
        <is>
          <t>rAhUl shAh</t>
        </is>
      </c>
      <c r="G178" t="inlineStr">
        <is>
          <t>Tablet</t>
        </is>
      </c>
      <c r="H178" t="inlineStr">
        <is>
          <t>P105</t>
        </is>
      </c>
      <c r="I178" t="inlineStr">
        <is>
          <t>iPad Air</t>
        </is>
      </c>
      <c r="J178" t="n">
        <v>5</v>
      </c>
      <c r="K178" s="3" t="n">
        <v>599</v>
      </c>
      <c r="L178" s="4" t="n">
        <v>0.05</v>
      </c>
      <c r="M178" s="3" t="n">
        <v>2845.25</v>
      </c>
      <c r="N178" s="3" t="n">
        <v>2500</v>
      </c>
      <c r="O178" s="2" t="n">
        <v>45961</v>
      </c>
      <c r="P178" s="2" t="n">
        <v>45962</v>
      </c>
      <c r="Q178" t="inlineStr">
        <is>
          <t>Credit Card</t>
        </is>
      </c>
      <c r="R178" t="inlineStr">
        <is>
          <t>Returning</t>
        </is>
      </c>
      <c r="S178" t="n">
        <v>3</v>
      </c>
      <c r="T178" t="inlineStr">
        <is>
          <t>urgent</t>
        </is>
      </c>
    </row>
    <row r="179">
      <c r="A179" t="inlineStr">
        <is>
          <t>O0178</t>
        </is>
      </c>
      <c r="B179" s="2" t="n">
        <v>46018</v>
      </c>
      <c r="C179" t="inlineStr">
        <is>
          <t>South</t>
        </is>
      </c>
      <c r="D179" t="inlineStr">
        <is>
          <t>Texas</t>
        </is>
      </c>
      <c r="E179" t="inlineStr">
        <is>
          <t>Priya Patel</t>
        </is>
      </c>
      <c r="F179" t="inlineStr">
        <is>
          <t>John Smith</t>
        </is>
      </c>
      <c r="G179" t="inlineStr">
        <is>
          <t>Monitor</t>
        </is>
      </c>
      <c r="H179" t="inlineStr">
        <is>
          <t>P109</t>
        </is>
      </c>
      <c r="I179" t="inlineStr">
        <is>
          <t>Monitor 24</t>
        </is>
      </c>
      <c r="J179" t="n">
        <v>2</v>
      </c>
      <c r="K179" s="3" t="n">
        <v>229</v>
      </c>
      <c r="L179" s="4" t="n">
        <v>0.05</v>
      </c>
      <c r="M179" s="3" t="n">
        <v>435.1</v>
      </c>
      <c r="N179" s="3" t="n">
        <v>750</v>
      </c>
      <c r="O179" s="2" t="n">
        <v>46021</v>
      </c>
      <c r="P179" s="2" t="n">
        <v>46027</v>
      </c>
      <c r="Q179" t="inlineStr">
        <is>
          <t>UPI</t>
        </is>
      </c>
      <c r="R179" t="inlineStr">
        <is>
          <t>New</t>
        </is>
      </c>
      <c r="S179" t="n">
        <v>4</v>
      </c>
      <c r="T179" t="inlineStr">
        <is>
          <t>urgent</t>
        </is>
      </c>
    </row>
    <row r="180">
      <c r="A180" t="inlineStr">
        <is>
          <t>O0179</t>
        </is>
      </c>
      <c r="B180" s="2" t="n">
        <v>45849</v>
      </c>
      <c r="C180" t="inlineStr">
        <is>
          <t>South</t>
        </is>
      </c>
      <c r="D180" t="inlineStr">
        <is>
          <t>Texas</t>
        </is>
      </c>
      <c r="E180" t="inlineStr">
        <is>
          <t>Sara Khan</t>
        </is>
      </c>
      <c r="F180" t="inlineStr">
        <is>
          <t>John Smith</t>
        </is>
      </c>
      <c r="G180" t="inlineStr">
        <is>
          <t>Accessory</t>
        </is>
      </c>
      <c r="H180" t="inlineStr">
        <is>
          <t>P110</t>
        </is>
      </c>
      <c r="I180" t="inlineStr">
        <is>
          <t>Keyboard</t>
        </is>
      </c>
      <c r="J180" t="n">
        <v>9</v>
      </c>
      <c r="K180" s="3" t="n">
        <v>59</v>
      </c>
      <c r="L180" s="4" t="n">
        <v>0.1</v>
      </c>
      <c r="M180" s="3" t="n">
        <v>477.9</v>
      </c>
      <c r="N180" s="3" t="n">
        <v>5000</v>
      </c>
      <c r="O180" s="2" t="n">
        <v>45853</v>
      </c>
      <c r="P180" s="2" t="n">
        <v>45859</v>
      </c>
      <c r="Q180" t="inlineStr">
        <is>
          <t>UPI</t>
        </is>
      </c>
      <c r="R180" t="inlineStr">
        <is>
          <t>New</t>
        </is>
      </c>
      <c r="S180" t="n">
        <v>5</v>
      </c>
      <c r="T180" t="inlineStr"/>
    </row>
    <row r="181">
      <c r="A181" t="inlineStr">
        <is>
          <t>O0180</t>
        </is>
      </c>
      <c r="B181" s="2" t="n">
        <v>45928</v>
      </c>
      <c r="C181" t="inlineStr">
        <is>
          <t>East</t>
        </is>
      </c>
      <c r="D181" t="inlineStr">
        <is>
          <t>New Jersey</t>
        </is>
      </c>
      <c r="E181" t="inlineStr">
        <is>
          <t>John Smith</t>
        </is>
      </c>
      <c r="F181" t="inlineStr">
        <is>
          <t xml:space="preserve"> Rahul Shah </t>
        </is>
      </c>
      <c r="G181" t="inlineStr">
        <is>
          <t>Audio</t>
        </is>
      </c>
      <c r="H181" t="inlineStr">
        <is>
          <t>P108</t>
        </is>
      </c>
      <c r="I181" t="inlineStr">
        <is>
          <t>Buds Pro</t>
        </is>
      </c>
      <c r="J181" t="n">
        <v>15</v>
      </c>
      <c r="K181" s="3" t="n">
        <v>129</v>
      </c>
      <c r="L181" s="4" t="n">
        <v>0.15</v>
      </c>
      <c r="M181" s="3" t="n">
        <v>1644.75</v>
      </c>
      <c r="N181" s="3" t="n">
        <v>300</v>
      </c>
      <c r="O181" s="2" t="n">
        <v>45931</v>
      </c>
      <c r="P181" s="2" t="n">
        <v>45932</v>
      </c>
      <c r="Q181" t="inlineStr">
        <is>
          <t>UPI</t>
        </is>
      </c>
      <c r="R181" t="inlineStr">
        <is>
          <t>Corporate</t>
        </is>
      </c>
      <c r="S181" t="n">
        <v>5</v>
      </c>
      <c r="T181" t="inlineStr">
        <is>
          <t>urgent</t>
        </is>
      </c>
    </row>
    <row r="182">
      <c r="A182" t="inlineStr">
        <is>
          <t>O0181</t>
        </is>
      </c>
      <c r="B182" s="2" t="n">
        <v>45884</v>
      </c>
      <c r="C182" t="inlineStr">
        <is>
          <t>West</t>
        </is>
      </c>
      <c r="D182" t="inlineStr">
        <is>
          <t>Texas</t>
        </is>
      </c>
      <c r="E182" t="inlineStr">
        <is>
          <t>John Smith</t>
        </is>
      </c>
      <c r="F182" t="inlineStr">
        <is>
          <t xml:space="preserve"> Rahul Shah </t>
        </is>
      </c>
      <c r="G182" t="inlineStr">
        <is>
          <t>Monitor</t>
        </is>
      </c>
      <c r="H182" t="inlineStr">
        <is>
          <t>P109</t>
        </is>
      </c>
      <c r="I182" t="inlineStr">
        <is>
          <t>Monitor 24</t>
        </is>
      </c>
      <c r="J182" t="n">
        <v>4</v>
      </c>
      <c r="K182" s="3" t="n">
        <v>229</v>
      </c>
      <c r="L182" s="4" t="n">
        <v>0.15</v>
      </c>
      <c r="M182" s="3" t="n">
        <v>778.6</v>
      </c>
      <c r="N182" s="3" t="n">
        <v>1000</v>
      </c>
      <c r="O182" s="2" t="n">
        <v>45885</v>
      </c>
      <c r="P182" s="2" t="n">
        <v>45891</v>
      </c>
      <c r="Q182" t="inlineStr">
        <is>
          <t>Bank Transfer</t>
        </is>
      </c>
      <c r="R182" t="inlineStr">
        <is>
          <t>New</t>
        </is>
      </c>
      <c r="S182" t="n">
        <v>4</v>
      </c>
      <c r="T182" t="inlineStr">
        <is>
          <t>urgent</t>
        </is>
      </c>
    </row>
    <row r="183">
      <c r="A183" t="inlineStr">
        <is>
          <t>O0182</t>
        </is>
      </c>
      <c r="B183" s="2" t="n">
        <v>45687</v>
      </c>
      <c r="C183" t="inlineStr">
        <is>
          <t>South</t>
        </is>
      </c>
      <c r="D183" t="inlineStr">
        <is>
          <t>Georgia</t>
        </is>
      </c>
      <c r="E183" t="inlineStr">
        <is>
          <t>Neha Joshi</t>
        </is>
      </c>
      <c r="F183" t="inlineStr">
        <is>
          <t xml:space="preserve"> Rahul Shah </t>
        </is>
      </c>
      <c r="G183" t="inlineStr">
        <is>
          <t>Accessory</t>
        </is>
      </c>
      <c r="H183" t="inlineStr">
        <is>
          <t>P110</t>
        </is>
      </c>
      <c r="I183" t="inlineStr">
        <is>
          <t>Keyboard</t>
        </is>
      </c>
      <c r="J183" t="n">
        <v>11</v>
      </c>
      <c r="K183" s="3" t="n">
        <v>59</v>
      </c>
      <c r="L183" s="4" t="n">
        <v>0.05</v>
      </c>
      <c r="M183" s="3" t="n">
        <v>616.55</v>
      </c>
      <c r="N183" s="3" t="n">
        <v>2500</v>
      </c>
      <c r="O183" s="2" t="n">
        <v>45692</v>
      </c>
      <c r="P183" s="2" t="n">
        <v>45696</v>
      </c>
      <c r="Q183" t="inlineStr">
        <is>
          <t>Cash</t>
        </is>
      </c>
      <c r="R183" t="inlineStr">
        <is>
          <t>New</t>
        </is>
      </c>
      <c r="S183" t="n">
        <v>2</v>
      </c>
      <c r="T183" t="inlineStr">
        <is>
          <t>NORMAL</t>
        </is>
      </c>
    </row>
    <row r="184">
      <c r="A184" t="inlineStr">
        <is>
          <t>O0183</t>
        </is>
      </c>
      <c r="B184" s="2" t="n">
        <v>45834</v>
      </c>
      <c r="C184" t="inlineStr">
        <is>
          <t>East</t>
        </is>
      </c>
      <c r="D184" t="inlineStr">
        <is>
          <t>New York</t>
        </is>
      </c>
      <c r="E184" t="inlineStr">
        <is>
          <t>Rahul Mehta</t>
        </is>
      </c>
      <c r="F184" t="inlineStr">
        <is>
          <t xml:space="preserve"> Rahul Shah </t>
        </is>
      </c>
      <c r="G184" t="inlineStr">
        <is>
          <t>Audio</t>
        </is>
      </c>
      <c r="H184" t="inlineStr">
        <is>
          <t>P107</t>
        </is>
      </c>
      <c r="I184" t="inlineStr">
        <is>
          <t>AirPods</t>
        </is>
      </c>
      <c r="J184" t="n">
        <v>1</v>
      </c>
      <c r="K184" s="3" t="n">
        <v>179</v>
      </c>
      <c r="L184" s="4" t="n">
        <v>0</v>
      </c>
      <c r="M184" s="3" t="n">
        <v>179</v>
      </c>
      <c r="N184" s="3" t="n">
        <v>1000</v>
      </c>
      <c r="O184" s="2" t="n">
        <v>45835</v>
      </c>
      <c r="P184" s="2" t="n">
        <v>45840</v>
      </c>
      <c r="Q184" t="inlineStr">
        <is>
          <t>Bank Transfer</t>
        </is>
      </c>
      <c r="R184" t="inlineStr">
        <is>
          <t>New</t>
        </is>
      </c>
      <c r="S184" t="n">
        <v>2</v>
      </c>
      <c r="T184" t="inlineStr"/>
    </row>
    <row r="185">
      <c r="A185" t="inlineStr">
        <is>
          <t>O0184</t>
        </is>
      </c>
      <c r="B185" s="2" t="n">
        <v>45887</v>
      </c>
      <c r="C185" t="inlineStr">
        <is>
          <t>South</t>
        </is>
      </c>
      <c r="D185" t="inlineStr">
        <is>
          <t>Georgia</t>
        </is>
      </c>
      <c r="E185" t="inlineStr">
        <is>
          <t>Rahul Mehta</t>
        </is>
      </c>
      <c r="F185" t="inlineStr">
        <is>
          <t>Sara Khan</t>
        </is>
      </c>
      <c r="G185" t="inlineStr">
        <is>
          <t>Audio</t>
        </is>
      </c>
      <c r="H185" t="inlineStr">
        <is>
          <t>P107</t>
        </is>
      </c>
      <c r="I185" t="inlineStr">
        <is>
          <t>AirPods</t>
        </is>
      </c>
      <c r="J185" t="n">
        <v>2</v>
      </c>
      <c r="K185" s="3" t="n">
        <v>179</v>
      </c>
      <c r="L185" s="4" t="n">
        <v>0.15</v>
      </c>
      <c r="M185" s="3" t="n">
        <v>304.3</v>
      </c>
      <c r="N185" s="3" t="n">
        <v>500</v>
      </c>
      <c r="O185" s="2" t="n">
        <v>45891</v>
      </c>
      <c r="P185" s="2" t="n">
        <v>45895</v>
      </c>
      <c r="Q185" t="inlineStr">
        <is>
          <t>Credit Card</t>
        </is>
      </c>
      <c r="R185" t="inlineStr">
        <is>
          <t>New</t>
        </is>
      </c>
      <c r="S185" t="n">
        <v>5</v>
      </c>
      <c r="T185" t="inlineStr">
        <is>
          <t xml:space="preserve">  follow-up  </t>
        </is>
      </c>
    </row>
    <row r="186">
      <c r="A186" t="inlineStr">
        <is>
          <t>O0185</t>
        </is>
      </c>
      <c r="B186" s="2" t="n">
        <v>45659</v>
      </c>
      <c r="C186" t="inlineStr">
        <is>
          <t>West</t>
        </is>
      </c>
      <c r="D186" t="inlineStr">
        <is>
          <t>Washington</t>
        </is>
      </c>
      <c r="E186" t="inlineStr">
        <is>
          <t>Neha Joshi</t>
        </is>
      </c>
      <c r="F186" t="inlineStr">
        <is>
          <t xml:space="preserve">John Smith </t>
        </is>
      </c>
      <c r="G186" t="inlineStr">
        <is>
          <t>Laptop</t>
        </is>
      </c>
      <c r="H186" t="inlineStr">
        <is>
          <t>P104</t>
        </is>
      </c>
      <c r="I186" t="inlineStr">
        <is>
          <t>Inspiron 15</t>
        </is>
      </c>
      <c r="J186" t="n">
        <v>8</v>
      </c>
      <c r="K186" s="3" t="n">
        <v>749</v>
      </c>
      <c r="L186" s="4" t="n">
        <v>0.15</v>
      </c>
      <c r="M186" s="3" t="n">
        <v>5093.2</v>
      </c>
      <c r="N186" s="3" t="n">
        <v>1000</v>
      </c>
      <c r="O186" s="2" t="n">
        <v>45660</v>
      </c>
      <c r="P186" s="2" t="n">
        <v>45663</v>
      </c>
      <c r="Q186" t="inlineStr">
        <is>
          <t>UPI</t>
        </is>
      </c>
      <c r="R186" t="inlineStr">
        <is>
          <t>New</t>
        </is>
      </c>
      <c r="S186" t="n">
        <v>4</v>
      </c>
      <c r="T186" t="inlineStr">
        <is>
          <t>ok</t>
        </is>
      </c>
    </row>
    <row r="187">
      <c r="A187" t="inlineStr">
        <is>
          <t>O0186</t>
        </is>
      </c>
      <c r="B187" s="2" t="n">
        <v>45715</v>
      </c>
      <c r="C187" t="inlineStr">
        <is>
          <t>West</t>
        </is>
      </c>
      <c r="D187" t="inlineStr">
        <is>
          <t>Texas</t>
        </is>
      </c>
      <c r="E187" t="inlineStr">
        <is>
          <t>Priya Patel</t>
        </is>
      </c>
      <c r="F187" t="inlineStr">
        <is>
          <t xml:space="preserve"> Rahul Shah </t>
        </is>
      </c>
      <c r="G187" t="inlineStr">
        <is>
          <t>Laptop</t>
        </is>
      </c>
      <c r="H187" t="inlineStr">
        <is>
          <t>P104</t>
        </is>
      </c>
      <c r="I187" t="inlineStr">
        <is>
          <t>Inspiron 15</t>
        </is>
      </c>
      <c r="J187" t="n">
        <v>11</v>
      </c>
      <c r="K187" s="3" t="n">
        <v>749</v>
      </c>
      <c r="L187" s="4" t="n">
        <v>0.1</v>
      </c>
      <c r="M187" s="3" t="n">
        <v>7415.1</v>
      </c>
      <c r="N187" s="3" t="n">
        <v>1500</v>
      </c>
      <c r="O187" s="2" t="n">
        <v>45716</v>
      </c>
      <c r="P187" s="2" t="n">
        <v>45723</v>
      </c>
      <c r="Q187" t="inlineStr">
        <is>
          <t>UPI</t>
        </is>
      </c>
      <c r="R187" t="inlineStr">
        <is>
          <t>New</t>
        </is>
      </c>
      <c r="S187" t="n">
        <v>1</v>
      </c>
      <c r="T187" t="inlineStr">
        <is>
          <t>NORMAL</t>
        </is>
      </c>
    </row>
    <row r="188">
      <c r="A188" t="inlineStr">
        <is>
          <t>O0187</t>
        </is>
      </c>
      <c r="B188" s="2" t="n">
        <v>46002</v>
      </c>
      <c r="C188" t="inlineStr">
        <is>
          <t>East</t>
        </is>
      </c>
      <c r="D188" t="inlineStr">
        <is>
          <t>Massachusetts</t>
        </is>
      </c>
      <c r="E188" t="inlineStr">
        <is>
          <t>Priya Patel</t>
        </is>
      </c>
      <c r="F188" t="inlineStr">
        <is>
          <t xml:space="preserve"> Neha  Joshi </t>
        </is>
      </c>
      <c r="G188" t="inlineStr">
        <is>
          <t>Accessory</t>
        </is>
      </c>
      <c r="H188" t="inlineStr">
        <is>
          <t>P110</t>
        </is>
      </c>
      <c r="I188" t="inlineStr">
        <is>
          <t>Keyboard</t>
        </is>
      </c>
      <c r="J188" t="n">
        <v>12</v>
      </c>
      <c r="K188" s="3" t="n">
        <v>59</v>
      </c>
      <c r="L188" s="4" t="n">
        <v>0</v>
      </c>
      <c r="M188" s="3" t="n">
        <v>708</v>
      </c>
      <c r="N188" s="3" t="n">
        <v>1000</v>
      </c>
      <c r="O188" s="2" t="n">
        <v>46003</v>
      </c>
      <c r="P188" s="2" t="n">
        <v>46005</v>
      </c>
      <c r="Q188" t="inlineStr">
        <is>
          <t>UPI</t>
        </is>
      </c>
      <c r="R188" t="inlineStr">
        <is>
          <t>New</t>
        </is>
      </c>
      <c r="S188" t="n">
        <v>2</v>
      </c>
      <c r="T188" t="inlineStr">
        <is>
          <t>NORMAL</t>
        </is>
      </c>
    </row>
    <row r="189">
      <c r="A189" t="inlineStr">
        <is>
          <t>O0188</t>
        </is>
      </c>
      <c r="B189" s="2" t="n">
        <v>45952</v>
      </c>
      <c r="C189" t="inlineStr">
        <is>
          <t>North</t>
        </is>
      </c>
      <c r="D189" t="inlineStr">
        <is>
          <t>Illinois</t>
        </is>
      </c>
      <c r="E189" t="inlineStr">
        <is>
          <t>Priya Patel</t>
        </is>
      </c>
      <c r="F189" t="inlineStr">
        <is>
          <t>PRIYA PATEL</t>
        </is>
      </c>
      <c r="G189" t="inlineStr">
        <is>
          <t>Accessory</t>
        </is>
      </c>
      <c r="H189" t="inlineStr">
        <is>
          <t>P112</t>
        </is>
      </c>
      <c r="I189" t="inlineStr">
        <is>
          <t>PowerBank</t>
        </is>
      </c>
      <c r="J189" t="n">
        <v>10</v>
      </c>
      <c r="K189" s="3" t="n">
        <v>49</v>
      </c>
      <c r="L189" s="4" t="n">
        <v>0.05</v>
      </c>
      <c r="M189" s="3" t="n">
        <v>465.5</v>
      </c>
      <c r="N189" s="3" t="n">
        <v>500</v>
      </c>
      <c r="O189" s="2" t="n">
        <v>45955</v>
      </c>
      <c r="P189" s="2" t="n">
        <v>45960</v>
      </c>
      <c r="Q189" t="inlineStr">
        <is>
          <t>UPI</t>
        </is>
      </c>
      <c r="R189" t="inlineStr">
        <is>
          <t>Returning</t>
        </is>
      </c>
      <c r="S189" t="n">
        <v>3</v>
      </c>
      <c r="T189" t="inlineStr">
        <is>
          <t>ok</t>
        </is>
      </c>
    </row>
    <row r="190">
      <c r="A190" t="inlineStr">
        <is>
          <t>O0189</t>
        </is>
      </c>
      <c r="B190" s="2" t="n">
        <v>45747</v>
      </c>
      <c r="C190" t="inlineStr">
        <is>
          <t>East</t>
        </is>
      </c>
      <c r="D190" t="inlineStr">
        <is>
          <t>New Jersey</t>
        </is>
      </c>
      <c r="E190" t="inlineStr">
        <is>
          <t>Sara Khan</t>
        </is>
      </c>
      <c r="F190" t="inlineStr">
        <is>
          <t>Sara Khan</t>
        </is>
      </c>
      <c r="G190" t="inlineStr">
        <is>
          <t>Accessory</t>
        </is>
      </c>
      <c r="H190" t="inlineStr">
        <is>
          <t>P110</t>
        </is>
      </c>
      <c r="I190" t="inlineStr">
        <is>
          <t>Keyboard</t>
        </is>
      </c>
      <c r="J190" t="n">
        <v>8</v>
      </c>
      <c r="K190" s="3" t="n">
        <v>59</v>
      </c>
      <c r="L190" s="4" t="n">
        <v>0</v>
      </c>
      <c r="M190" s="3" t="n">
        <v>472</v>
      </c>
      <c r="N190" s="3" t="n">
        <v>750</v>
      </c>
      <c r="O190" s="2" t="n">
        <v>45751</v>
      </c>
      <c r="P190" s="2" t="n">
        <v>45756</v>
      </c>
      <c r="Q190" t="inlineStr">
        <is>
          <t>Bank Transfer</t>
        </is>
      </c>
      <c r="R190" t="inlineStr">
        <is>
          <t>Corporate</t>
        </is>
      </c>
      <c r="S190" t="n">
        <v>3</v>
      </c>
      <c r="T190" t="inlineStr">
        <is>
          <t>refund pending</t>
        </is>
      </c>
    </row>
    <row r="191">
      <c r="A191" t="inlineStr">
        <is>
          <t>O0190</t>
        </is>
      </c>
      <c r="B191" s="2" t="n">
        <v>45811</v>
      </c>
      <c r="C191" t="inlineStr">
        <is>
          <t>South</t>
        </is>
      </c>
      <c r="D191" t="inlineStr">
        <is>
          <t>Georgia</t>
        </is>
      </c>
      <c r="E191" t="inlineStr">
        <is>
          <t>Priya Patel</t>
        </is>
      </c>
      <c r="F191" t="inlineStr">
        <is>
          <t>rAhUl shAh</t>
        </is>
      </c>
      <c r="G191" t="inlineStr">
        <is>
          <t>Laptop</t>
        </is>
      </c>
      <c r="H191" t="inlineStr">
        <is>
          <t>P103</t>
        </is>
      </c>
      <c r="I191" t="inlineStr">
        <is>
          <t>ThinkPad E14</t>
        </is>
      </c>
      <c r="J191" t="n">
        <v>13</v>
      </c>
      <c r="K191" s="3" t="n">
        <v>899</v>
      </c>
      <c r="L191" s="4" t="n">
        <v>0.15</v>
      </c>
      <c r="M191" s="3" t="n">
        <v>9933.950000000001</v>
      </c>
      <c r="N191" s="3" t="n">
        <v>1000</v>
      </c>
      <c r="O191" s="2" t="n">
        <v>45815</v>
      </c>
      <c r="P191" s="2" t="n">
        <v>45817</v>
      </c>
      <c r="Q191" t="inlineStr">
        <is>
          <t>Cash</t>
        </is>
      </c>
      <c r="R191" t="inlineStr">
        <is>
          <t>Corporate</t>
        </is>
      </c>
      <c r="S191" t="n">
        <v>2</v>
      </c>
      <c r="T191" t="inlineStr"/>
    </row>
    <row r="192">
      <c r="A192" t="inlineStr">
        <is>
          <t>O0191</t>
        </is>
      </c>
      <c r="B192" s="2" t="n">
        <v>45869</v>
      </c>
      <c r="C192" t="inlineStr">
        <is>
          <t>South</t>
        </is>
      </c>
      <c r="D192" t="inlineStr">
        <is>
          <t>Florida</t>
        </is>
      </c>
      <c r="E192" t="inlineStr">
        <is>
          <t>Rahul Mehta</t>
        </is>
      </c>
      <c r="F192" t="inlineStr">
        <is>
          <t>rAhUl shAh</t>
        </is>
      </c>
      <c r="G192" t="inlineStr">
        <is>
          <t>Monitor</t>
        </is>
      </c>
      <c r="H192" t="inlineStr">
        <is>
          <t>P109</t>
        </is>
      </c>
      <c r="I192" t="inlineStr">
        <is>
          <t>Monitor 24</t>
        </is>
      </c>
      <c r="J192" t="n">
        <v>9</v>
      </c>
      <c r="K192" s="3" t="n">
        <v>229</v>
      </c>
      <c r="L192" s="4" t="n">
        <v>0.02</v>
      </c>
      <c r="M192" s="3" t="n">
        <v>2019.78</v>
      </c>
      <c r="N192" s="3" t="n">
        <v>1000</v>
      </c>
      <c r="O192" s="2" t="n">
        <v>45873</v>
      </c>
      <c r="P192" s="2" t="n">
        <v>45878</v>
      </c>
      <c r="Q192" t="inlineStr">
        <is>
          <t>UPI</t>
        </is>
      </c>
      <c r="R192" t="inlineStr">
        <is>
          <t>Returning</t>
        </is>
      </c>
      <c r="S192" t="n">
        <v>1</v>
      </c>
      <c r="T192" t="inlineStr">
        <is>
          <t xml:space="preserve">  follow-up  </t>
        </is>
      </c>
    </row>
    <row r="193">
      <c r="A193" t="inlineStr">
        <is>
          <t>O0192</t>
        </is>
      </c>
      <c r="B193" s="2" t="n">
        <v>45755</v>
      </c>
      <c r="C193" t="inlineStr">
        <is>
          <t>North</t>
        </is>
      </c>
      <c r="D193" t="inlineStr">
        <is>
          <t>Illinois</t>
        </is>
      </c>
      <c r="E193" t="inlineStr">
        <is>
          <t>Amit Shah</t>
        </is>
      </c>
      <c r="F193" t="inlineStr">
        <is>
          <t xml:space="preserve"> Rahul Shah </t>
        </is>
      </c>
      <c r="G193" t="inlineStr">
        <is>
          <t>Monitor</t>
        </is>
      </c>
      <c r="H193" t="inlineStr">
        <is>
          <t>P109</t>
        </is>
      </c>
      <c r="I193" t="inlineStr">
        <is>
          <t>Monitor 24</t>
        </is>
      </c>
      <c r="J193" t="n">
        <v>7</v>
      </c>
      <c r="K193" s="3" t="n">
        <v>229</v>
      </c>
      <c r="L193" s="4" t="n">
        <v>0.15</v>
      </c>
      <c r="M193" s="3" t="n">
        <v>1362.55</v>
      </c>
      <c r="N193" s="3" t="n">
        <v>1500</v>
      </c>
      <c r="O193" s="2" t="n">
        <v>45756</v>
      </c>
      <c r="P193" s="2" t="n">
        <v>45759</v>
      </c>
      <c r="Q193" t="inlineStr">
        <is>
          <t>UPI</t>
        </is>
      </c>
      <c r="R193" t="inlineStr">
        <is>
          <t>Corporate</t>
        </is>
      </c>
      <c r="S193" t="n">
        <v>5</v>
      </c>
      <c r="T193" t="inlineStr">
        <is>
          <t>urgent</t>
        </is>
      </c>
    </row>
    <row r="194">
      <c r="A194" t="inlineStr">
        <is>
          <t>O0193</t>
        </is>
      </c>
      <c r="B194" s="2" t="n">
        <v>45813</v>
      </c>
      <c r="C194" t="inlineStr">
        <is>
          <t>South</t>
        </is>
      </c>
      <c r="D194" t="inlineStr">
        <is>
          <t>Florida</t>
        </is>
      </c>
      <c r="E194" t="inlineStr">
        <is>
          <t>Sara Khan</t>
        </is>
      </c>
      <c r="F194" t="inlineStr">
        <is>
          <t xml:space="preserve"> Rahul Shah </t>
        </is>
      </c>
      <c r="G194" t="inlineStr">
        <is>
          <t>Tablet</t>
        </is>
      </c>
      <c r="H194" t="inlineStr">
        <is>
          <t>P106</t>
        </is>
      </c>
      <c r="I194" t="inlineStr">
        <is>
          <t>Galaxy Tab</t>
        </is>
      </c>
      <c r="J194" t="n">
        <v>15</v>
      </c>
      <c r="K194" s="3" t="n">
        <v>499</v>
      </c>
      <c r="L194" s="4" t="n">
        <v>0.02</v>
      </c>
      <c r="M194" s="3" t="n">
        <v>7335.3</v>
      </c>
      <c r="N194" s="3" t="n">
        <v>2500</v>
      </c>
      <c r="O194" s="2" t="n">
        <v>45814</v>
      </c>
      <c r="P194" s="2" t="n">
        <v>45816</v>
      </c>
      <c r="Q194" t="inlineStr">
        <is>
          <t>Bank Transfer</t>
        </is>
      </c>
      <c r="R194" t="inlineStr">
        <is>
          <t>New</t>
        </is>
      </c>
      <c r="S194" t="n">
        <v>5</v>
      </c>
      <c r="T194" t="inlineStr">
        <is>
          <t>refund pending</t>
        </is>
      </c>
    </row>
    <row r="195">
      <c r="A195" t="inlineStr">
        <is>
          <t>O0194</t>
        </is>
      </c>
      <c r="B195" s="2" t="n">
        <v>45940</v>
      </c>
      <c r="C195" t="inlineStr">
        <is>
          <t>West</t>
        </is>
      </c>
      <c r="D195" t="inlineStr">
        <is>
          <t>Texas</t>
        </is>
      </c>
      <c r="E195" t="inlineStr">
        <is>
          <t>Sara Khan</t>
        </is>
      </c>
      <c r="F195" t="inlineStr">
        <is>
          <t>John Smith</t>
        </is>
      </c>
      <c r="G195" t="inlineStr">
        <is>
          <t>Laptop</t>
        </is>
      </c>
      <c r="H195" t="inlineStr">
        <is>
          <t>P104</t>
        </is>
      </c>
      <c r="I195" t="inlineStr">
        <is>
          <t>Inspiron 15</t>
        </is>
      </c>
      <c r="J195" t="n">
        <v>5</v>
      </c>
      <c r="K195" s="3" t="n">
        <v>749</v>
      </c>
      <c r="L195" s="4" t="n">
        <v>0.1</v>
      </c>
      <c r="M195" s="3" t="n">
        <v>3370.5</v>
      </c>
      <c r="N195" s="3" t="n">
        <v>1000</v>
      </c>
      <c r="O195" s="2" t="n">
        <v>45943</v>
      </c>
      <c r="P195" s="2" t="n">
        <v>45950</v>
      </c>
      <c r="Q195" t="inlineStr">
        <is>
          <t>Cash</t>
        </is>
      </c>
      <c r="R195" t="inlineStr">
        <is>
          <t>Returning</t>
        </is>
      </c>
      <c r="S195" t="n">
        <v>3</v>
      </c>
      <c r="T195" t="inlineStr">
        <is>
          <t>ok</t>
        </is>
      </c>
    </row>
    <row r="196">
      <c r="A196" t="inlineStr">
        <is>
          <t>O0195</t>
        </is>
      </c>
      <c r="B196" s="2" t="n">
        <v>45898</v>
      </c>
      <c r="C196" t="inlineStr">
        <is>
          <t>South</t>
        </is>
      </c>
      <c r="D196" t="inlineStr">
        <is>
          <t>Georgia</t>
        </is>
      </c>
      <c r="E196" t="inlineStr">
        <is>
          <t>John Smith</t>
        </is>
      </c>
      <c r="F196" t="inlineStr">
        <is>
          <t xml:space="preserve"> Rahul Shah </t>
        </is>
      </c>
      <c r="G196" t="inlineStr">
        <is>
          <t>Mobile</t>
        </is>
      </c>
      <c r="H196" t="inlineStr">
        <is>
          <t>P102</t>
        </is>
      </c>
      <c r="I196" t="inlineStr">
        <is>
          <t>Galaxy S24</t>
        </is>
      </c>
      <c r="J196" t="n">
        <v>6</v>
      </c>
      <c r="K196" s="3" t="n">
        <v>799</v>
      </c>
      <c r="L196" s="4" t="n">
        <v>0.05</v>
      </c>
      <c r="M196" s="3" t="n">
        <v>4554.3</v>
      </c>
      <c r="N196" s="3" t="n">
        <v>1000</v>
      </c>
      <c r="O196" s="2" t="n">
        <v>45901</v>
      </c>
      <c r="P196" s="2" t="n">
        <v>45903</v>
      </c>
      <c r="Q196" t="inlineStr">
        <is>
          <t>UPI</t>
        </is>
      </c>
      <c r="R196" t="inlineStr">
        <is>
          <t>Corporate</t>
        </is>
      </c>
      <c r="S196" t="n">
        <v>2</v>
      </c>
      <c r="T196" t="inlineStr">
        <is>
          <t xml:space="preserve"> normal </t>
        </is>
      </c>
    </row>
    <row r="197">
      <c r="A197" t="inlineStr">
        <is>
          <t>O0196</t>
        </is>
      </c>
      <c r="B197" s="2" t="n">
        <v>45954</v>
      </c>
      <c r="C197" t="inlineStr">
        <is>
          <t>North</t>
        </is>
      </c>
      <c r="D197" t="inlineStr">
        <is>
          <t>Minnesota</t>
        </is>
      </c>
      <c r="E197" t="inlineStr">
        <is>
          <t>Neha Joshi</t>
        </is>
      </c>
      <c r="F197" t="inlineStr">
        <is>
          <t>rAhUl shAh</t>
        </is>
      </c>
      <c r="G197" t="inlineStr">
        <is>
          <t>Accessory</t>
        </is>
      </c>
      <c r="H197" t="inlineStr">
        <is>
          <t>P110</t>
        </is>
      </c>
      <c r="I197" t="inlineStr">
        <is>
          <t>Keyboard</t>
        </is>
      </c>
      <c r="J197" t="n">
        <v>3</v>
      </c>
      <c r="K197" s="3" t="n">
        <v>59</v>
      </c>
      <c r="L197" s="4" t="n">
        <v>0.02</v>
      </c>
      <c r="M197" s="3" t="n">
        <v>173.46</v>
      </c>
      <c r="N197" s="3" t="n">
        <v>750</v>
      </c>
      <c r="O197" s="2" t="n">
        <v>45958</v>
      </c>
      <c r="P197" s="2" t="n">
        <v>45961</v>
      </c>
      <c r="Q197" t="inlineStr">
        <is>
          <t>UPI</t>
        </is>
      </c>
      <c r="R197" t="inlineStr">
        <is>
          <t>Returning</t>
        </is>
      </c>
      <c r="S197" t="n">
        <v>5</v>
      </c>
      <c r="T197" t="inlineStr">
        <is>
          <t>refund pending</t>
        </is>
      </c>
    </row>
    <row r="198">
      <c r="A198" t="inlineStr">
        <is>
          <t>O0197</t>
        </is>
      </c>
      <c r="B198" s="2" t="n">
        <v>45986</v>
      </c>
      <c r="C198" t="inlineStr">
        <is>
          <t>North</t>
        </is>
      </c>
      <c r="D198" t="inlineStr">
        <is>
          <t>Michigan</t>
        </is>
      </c>
      <c r="E198" t="inlineStr">
        <is>
          <t>Sara Khan</t>
        </is>
      </c>
      <c r="F198" t="inlineStr">
        <is>
          <t>rAhUl shAh</t>
        </is>
      </c>
      <c r="G198" t="inlineStr">
        <is>
          <t>Audio</t>
        </is>
      </c>
      <c r="H198" t="inlineStr">
        <is>
          <t>P108</t>
        </is>
      </c>
      <c r="I198" t="inlineStr">
        <is>
          <t>Buds Pro</t>
        </is>
      </c>
      <c r="J198" t="n">
        <v>3</v>
      </c>
      <c r="K198" s="3" t="n">
        <v>129</v>
      </c>
      <c r="L198" s="4" t="n">
        <v>0.05</v>
      </c>
      <c r="M198" s="3" t="n">
        <v>367.65</v>
      </c>
      <c r="N198" s="3" t="n">
        <v>500</v>
      </c>
      <c r="O198" s="2" t="n">
        <v>45990</v>
      </c>
      <c r="P198" s="2" t="n">
        <v>45994</v>
      </c>
      <c r="Q198" t="inlineStr">
        <is>
          <t>Bank Transfer</t>
        </is>
      </c>
      <c r="R198" t="inlineStr">
        <is>
          <t>New</t>
        </is>
      </c>
      <c r="S198" t="n">
        <v>5</v>
      </c>
      <c r="T198" t="inlineStr">
        <is>
          <t>refund pending</t>
        </is>
      </c>
    </row>
    <row r="199">
      <c r="A199" t="inlineStr">
        <is>
          <t>O0198</t>
        </is>
      </c>
      <c r="B199" s="2" t="n">
        <v>45696</v>
      </c>
      <c r="C199" t="inlineStr">
        <is>
          <t>East</t>
        </is>
      </c>
      <c r="D199" t="inlineStr">
        <is>
          <t>New Jersey</t>
        </is>
      </c>
      <c r="E199" t="inlineStr">
        <is>
          <t>Priya Patel</t>
        </is>
      </c>
      <c r="F199" t="inlineStr">
        <is>
          <t>Sara Khan</t>
        </is>
      </c>
      <c r="G199" t="inlineStr">
        <is>
          <t>Mobile</t>
        </is>
      </c>
      <c r="H199" t="inlineStr">
        <is>
          <t>P101</t>
        </is>
      </c>
      <c r="I199" t="inlineStr">
        <is>
          <t>iPhone 15</t>
        </is>
      </c>
      <c r="J199" t="n">
        <v>1</v>
      </c>
      <c r="K199" s="3" t="n">
        <v>699</v>
      </c>
      <c r="L199" s="4" t="n">
        <v>0.1</v>
      </c>
      <c r="M199" s="3" t="n">
        <v>629.1</v>
      </c>
      <c r="N199" s="3" t="n">
        <v>500</v>
      </c>
      <c r="O199" s="2" t="n">
        <v>45697</v>
      </c>
      <c r="P199" s="2" t="n">
        <v>45704</v>
      </c>
      <c r="Q199" t="inlineStr">
        <is>
          <t>Credit Card</t>
        </is>
      </c>
      <c r="R199" t="inlineStr">
        <is>
          <t>Corporate</t>
        </is>
      </c>
      <c r="S199" t="n">
        <v>2</v>
      </c>
      <c r="T199" t="inlineStr">
        <is>
          <t xml:space="preserve"> normal </t>
        </is>
      </c>
    </row>
    <row r="200">
      <c r="A200" t="inlineStr">
        <is>
          <t>O0199</t>
        </is>
      </c>
      <c r="B200" s="2" t="n">
        <v>45849</v>
      </c>
      <c r="C200" t="inlineStr">
        <is>
          <t>West</t>
        </is>
      </c>
      <c r="D200" t="inlineStr">
        <is>
          <t>Washington</t>
        </is>
      </c>
      <c r="E200" t="inlineStr">
        <is>
          <t>Neha Joshi</t>
        </is>
      </c>
      <c r="F200" t="inlineStr">
        <is>
          <t>Sara Khan</t>
        </is>
      </c>
      <c r="G200" t="inlineStr">
        <is>
          <t>Audio</t>
        </is>
      </c>
      <c r="H200" t="inlineStr">
        <is>
          <t>P108</t>
        </is>
      </c>
      <c r="I200" t="inlineStr">
        <is>
          <t>Buds Pro</t>
        </is>
      </c>
      <c r="J200" t="n">
        <v>11</v>
      </c>
      <c r="K200" s="3" t="n">
        <v>129</v>
      </c>
      <c r="L200" s="4" t="n">
        <v>0.15</v>
      </c>
      <c r="M200" s="3" t="n">
        <v>1206.15</v>
      </c>
      <c r="N200" s="3" t="n">
        <v>1000</v>
      </c>
      <c r="O200" s="2" t="n">
        <v>45850</v>
      </c>
      <c r="P200" s="2" t="n">
        <v>45855</v>
      </c>
      <c r="Q200" t="inlineStr">
        <is>
          <t>Credit Card</t>
        </is>
      </c>
      <c r="R200" t="inlineStr">
        <is>
          <t>New</t>
        </is>
      </c>
      <c r="S200" t="n">
        <v>5</v>
      </c>
      <c r="T200" t="inlineStr">
        <is>
          <t>NORMAL</t>
        </is>
      </c>
    </row>
    <row r="201">
      <c r="A201" t="inlineStr">
        <is>
          <t>O0200</t>
        </is>
      </c>
      <c r="B201" s="2" t="n">
        <v>45929</v>
      </c>
      <c r="C201" t="inlineStr">
        <is>
          <t>South</t>
        </is>
      </c>
      <c r="D201" t="inlineStr">
        <is>
          <t>Florida</t>
        </is>
      </c>
      <c r="E201" t="inlineStr">
        <is>
          <t>Sara Khan</t>
        </is>
      </c>
      <c r="F201" t="inlineStr">
        <is>
          <t>Sara Khan</t>
        </is>
      </c>
      <c r="G201" t="inlineStr">
        <is>
          <t>Mobile</t>
        </is>
      </c>
      <c r="H201" t="inlineStr">
        <is>
          <t>P101</t>
        </is>
      </c>
      <c r="I201" t="inlineStr">
        <is>
          <t>iPhone 15</t>
        </is>
      </c>
      <c r="J201" t="n">
        <v>5</v>
      </c>
      <c r="K201" s="3" t="n">
        <v>699</v>
      </c>
      <c r="L201" s="4" t="n">
        <v>0</v>
      </c>
      <c r="M201" s="3" t="n">
        <v>3495</v>
      </c>
      <c r="N201" s="3" t="n">
        <v>1500</v>
      </c>
      <c r="O201" s="2" t="n">
        <v>45932</v>
      </c>
      <c r="P201" s="2" t="n">
        <v>45937</v>
      </c>
      <c r="Q201" t="inlineStr">
        <is>
          <t>Bank Transfer</t>
        </is>
      </c>
      <c r="R201" t="inlineStr">
        <is>
          <t>New</t>
        </is>
      </c>
      <c r="S201" t="n">
        <v>1</v>
      </c>
      <c r="T201" t="inlineStr">
        <is>
          <t xml:space="preserve"> normal </t>
        </is>
      </c>
    </row>
    <row r="202">
      <c r="A202" t="inlineStr">
        <is>
          <t>O0201</t>
        </is>
      </c>
      <c r="B202" s="2" t="n">
        <v>45975</v>
      </c>
      <c r="C202" t="inlineStr">
        <is>
          <t>West</t>
        </is>
      </c>
      <c r="D202" t="inlineStr">
        <is>
          <t>California</t>
        </is>
      </c>
      <c r="E202" t="inlineStr">
        <is>
          <t>Amit Shah</t>
        </is>
      </c>
      <c r="F202" t="inlineStr">
        <is>
          <t xml:space="preserve"> Neha  Joshi </t>
        </is>
      </c>
      <c r="G202" t="inlineStr">
        <is>
          <t>Laptop</t>
        </is>
      </c>
      <c r="H202" t="inlineStr">
        <is>
          <t>P104</t>
        </is>
      </c>
      <c r="I202" t="inlineStr">
        <is>
          <t>Inspiron 15</t>
        </is>
      </c>
      <c r="J202" t="n">
        <v>14</v>
      </c>
      <c r="K202" s="3" t="n">
        <v>749</v>
      </c>
      <c r="L202" s="4" t="n">
        <v>0.05</v>
      </c>
      <c r="M202" s="3" t="n">
        <v>9961.700000000001</v>
      </c>
      <c r="N202" s="3" t="n">
        <v>750</v>
      </c>
      <c r="O202" s="2" t="n">
        <v>45980</v>
      </c>
      <c r="P202" s="2" t="n">
        <v>45983</v>
      </c>
      <c r="Q202" t="inlineStr">
        <is>
          <t>Cash</t>
        </is>
      </c>
      <c r="R202" t="inlineStr">
        <is>
          <t>Returning</t>
        </is>
      </c>
      <c r="S202" t="n">
        <v>4</v>
      </c>
      <c r="T202" t="inlineStr">
        <is>
          <t>NORMAL</t>
        </is>
      </c>
    </row>
    <row r="203">
      <c r="A203" t="inlineStr">
        <is>
          <t>O0202</t>
        </is>
      </c>
      <c r="B203" s="2" t="n">
        <v>45811</v>
      </c>
      <c r="C203" t="inlineStr">
        <is>
          <t>West</t>
        </is>
      </c>
      <c r="D203" t="inlineStr">
        <is>
          <t>Washington</t>
        </is>
      </c>
      <c r="E203" t="inlineStr">
        <is>
          <t>Neha Joshi</t>
        </is>
      </c>
      <c r="F203" t="inlineStr">
        <is>
          <t xml:space="preserve"> Neha  Joshi </t>
        </is>
      </c>
      <c r="G203" t="inlineStr">
        <is>
          <t>Laptop</t>
        </is>
      </c>
      <c r="H203" t="inlineStr">
        <is>
          <t>P104</t>
        </is>
      </c>
      <c r="I203" t="inlineStr">
        <is>
          <t>Inspiron 15</t>
        </is>
      </c>
      <c r="J203" t="n">
        <v>14</v>
      </c>
      <c r="K203" s="3" t="n">
        <v>749</v>
      </c>
      <c r="L203" s="4" t="n">
        <v>0</v>
      </c>
      <c r="M203" s="3" t="n">
        <v>10486</v>
      </c>
      <c r="N203" s="3" t="n">
        <v>300</v>
      </c>
      <c r="O203" s="2" t="n">
        <v>45812</v>
      </c>
      <c r="P203" s="2" t="n">
        <v>45818</v>
      </c>
      <c r="Q203" t="inlineStr">
        <is>
          <t>Bank Transfer</t>
        </is>
      </c>
      <c r="R203" t="inlineStr">
        <is>
          <t>Corporate</t>
        </is>
      </c>
      <c r="S203" t="n">
        <v>4</v>
      </c>
      <c r="T203" t="inlineStr">
        <is>
          <t xml:space="preserve"> normal </t>
        </is>
      </c>
    </row>
    <row r="204">
      <c r="A204" t="inlineStr">
        <is>
          <t>O0203</t>
        </is>
      </c>
      <c r="B204" s="2" t="n">
        <v>45700</v>
      </c>
      <c r="C204" t="inlineStr">
        <is>
          <t>East</t>
        </is>
      </c>
      <c r="D204" t="inlineStr">
        <is>
          <t>New Jersey</t>
        </is>
      </c>
      <c r="E204" t="inlineStr">
        <is>
          <t>John Smith</t>
        </is>
      </c>
      <c r="F204" t="inlineStr">
        <is>
          <t xml:space="preserve"> Rahul Shah </t>
        </is>
      </c>
      <c r="G204" t="inlineStr">
        <is>
          <t>Laptop</t>
        </is>
      </c>
      <c r="H204" t="inlineStr">
        <is>
          <t>P103</t>
        </is>
      </c>
      <c r="I204" t="inlineStr">
        <is>
          <t>ThinkPad E14</t>
        </is>
      </c>
      <c r="J204" t="n">
        <v>7</v>
      </c>
      <c r="K204" s="3" t="n">
        <v>899</v>
      </c>
      <c r="L204" s="4" t="n">
        <v>0.05</v>
      </c>
      <c r="M204" s="3" t="n">
        <v>5978.35</v>
      </c>
      <c r="N204" s="3" t="n">
        <v>1500</v>
      </c>
      <c r="O204" s="2" t="n">
        <v>45704</v>
      </c>
      <c r="P204" s="2" t="n">
        <v>45711</v>
      </c>
      <c r="Q204" t="inlineStr">
        <is>
          <t>Credit Card</t>
        </is>
      </c>
      <c r="R204" t="inlineStr">
        <is>
          <t>New</t>
        </is>
      </c>
      <c r="S204" t="n">
        <v>2</v>
      </c>
      <c r="T204" t="inlineStr"/>
    </row>
    <row r="205">
      <c r="A205" t="inlineStr">
        <is>
          <t>O0204</t>
        </is>
      </c>
      <c r="B205" s="2" t="n">
        <v>45696</v>
      </c>
      <c r="C205" t="inlineStr">
        <is>
          <t>South</t>
        </is>
      </c>
      <c r="D205" t="inlineStr">
        <is>
          <t>Georgia</t>
        </is>
      </c>
      <c r="E205" t="inlineStr">
        <is>
          <t>Amit Shah</t>
        </is>
      </c>
      <c r="F205" t="inlineStr">
        <is>
          <t>PRIYA PATEL</t>
        </is>
      </c>
      <c r="G205" t="inlineStr">
        <is>
          <t>Mobile</t>
        </is>
      </c>
      <c r="H205" t="inlineStr">
        <is>
          <t>P101</t>
        </is>
      </c>
      <c r="I205" t="inlineStr">
        <is>
          <t>iPhone 15</t>
        </is>
      </c>
      <c r="J205" t="n">
        <v>10</v>
      </c>
      <c r="K205" s="3" t="n">
        <v>699</v>
      </c>
      <c r="L205" s="4" t="n">
        <v>0</v>
      </c>
      <c r="M205" s="3" t="n">
        <v>6990</v>
      </c>
      <c r="N205" s="3" t="n">
        <v>500</v>
      </c>
      <c r="O205" s="2" t="n">
        <v>45699</v>
      </c>
      <c r="P205" s="2" t="n">
        <v>45704</v>
      </c>
      <c r="Q205" t="inlineStr">
        <is>
          <t>UPI</t>
        </is>
      </c>
      <c r="R205" t="inlineStr">
        <is>
          <t>Corporate</t>
        </is>
      </c>
      <c r="S205" t="n">
        <v>2</v>
      </c>
      <c r="T205" t="inlineStr"/>
    </row>
    <row r="206">
      <c r="A206" t="inlineStr">
        <is>
          <t>O0205</t>
        </is>
      </c>
      <c r="B206" s="2" t="n">
        <v>45741</v>
      </c>
      <c r="C206" t="inlineStr">
        <is>
          <t>South</t>
        </is>
      </c>
      <c r="D206" t="inlineStr">
        <is>
          <t>Florida</t>
        </is>
      </c>
      <c r="E206" t="inlineStr">
        <is>
          <t>Rahul Mehta</t>
        </is>
      </c>
      <c r="F206" t="inlineStr">
        <is>
          <t>John Smith</t>
        </is>
      </c>
      <c r="G206" t="inlineStr">
        <is>
          <t>Tablet</t>
        </is>
      </c>
      <c r="H206" t="inlineStr">
        <is>
          <t>P105</t>
        </is>
      </c>
      <c r="I206" t="inlineStr">
        <is>
          <t>iPad Air</t>
        </is>
      </c>
      <c r="J206" t="n">
        <v>10</v>
      </c>
      <c r="K206" s="3" t="n">
        <v>599</v>
      </c>
      <c r="L206" s="4" t="n">
        <v>0.1</v>
      </c>
      <c r="M206" s="3" t="n">
        <v>5391</v>
      </c>
      <c r="N206" s="3" t="n">
        <v>2500</v>
      </c>
      <c r="O206" s="2" t="n">
        <v>45746</v>
      </c>
      <c r="P206" s="2" t="n">
        <v>45748</v>
      </c>
      <c r="Q206" t="inlineStr">
        <is>
          <t>Bank Transfer</t>
        </is>
      </c>
      <c r="R206" t="inlineStr">
        <is>
          <t>Corporate</t>
        </is>
      </c>
      <c r="S206" t="n">
        <v>2</v>
      </c>
      <c r="T206" t="inlineStr"/>
    </row>
    <row r="207">
      <c r="A207" t="inlineStr">
        <is>
          <t>O0206</t>
        </is>
      </c>
      <c r="B207" s="2" t="n">
        <v>45835</v>
      </c>
      <c r="C207" t="inlineStr">
        <is>
          <t>East</t>
        </is>
      </c>
      <c r="D207" t="inlineStr">
        <is>
          <t>New Jersey</t>
        </is>
      </c>
      <c r="E207" t="inlineStr">
        <is>
          <t>Rahul Mehta</t>
        </is>
      </c>
      <c r="F207" t="inlineStr">
        <is>
          <t xml:space="preserve"> Rahul Shah </t>
        </is>
      </c>
      <c r="G207" t="inlineStr">
        <is>
          <t>Accessory</t>
        </is>
      </c>
      <c r="H207" t="inlineStr">
        <is>
          <t>P112</t>
        </is>
      </c>
      <c r="I207" t="inlineStr">
        <is>
          <t>PowerBank</t>
        </is>
      </c>
      <c r="J207" t="n">
        <v>7</v>
      </c>
      <c r="K207" s="3" t="n">
        <v>49</v>
      </c>
      <c r="L207" s="4" t="n">
        <v>0.02</v>
      </c>
      <c r="M207" s="3" t="n">
        <v>336.14</v>
      </c>
      <c r="N207" s="3" t="n">
        <v>5000</v>
      </c>
      <c r="O207" s="2" t="n">
        <v>45836</v>
      </c>
      <c r="P207" s="2" t="n">
        <v>45837</v>
      </c>
      <c r="Q207" t="inlineStr">
        <is>
          <t>Bank Transfer</t>
        </is>
      </c>
      <c r="R207" t="inlineStr">
        <is>
          <t>Returning</t>
        </is>
      </c>
      <c r="S207" t="n">
        <v>1</v>
      </c>
      <c r="T207" t="inlineStr">
        <is>
          <t>refund pending</t>
        </is>
      </c>
    </row>
    <row r="208">
      <c r="A208" t="inlineStr">
        <is>
          <t>O0207</t>
        </is>
      </c>
      <c r="B208" s="2" t="n">
        <v>45774</v>
      </c>
      <c r="C208" t="inlineStr">
        <is>
          <t>North</t>
        </is>
      </c>
      <c r="D208" t="inlineStr">
        <is>
          <t>Michigan</t>
        </is>
      </c>
      <c r="E208" t="inlineStr">
        <is>
          <t>John Smith</t>
        </is>
      </c>
      <c r="F208" t="inlineStr">
        <is>
          <t>Sara Khan</t>
        </is>
      </c>
      <c r="G208" t="inlineStr">
        <is>
          <t>Audio</t>
        </is>
      </c>
      <c r="H208" t="inlineStr">
        <is>
          <t>P108</t>
        </is>
      </c>
      <c r="I208" t="inlineStr">
        <is>
          <t>Buds Pro</t>
        </is>
      </c>
      <c r="J208" t="n">
        <v>7</v>
      </c>
      <c r="K208" s="3" t="n">
        <v>129</v>
      </c>
      <c r="L208" s="4" t="n">
        <v>0.1</v>
      </c>
      <c r="M208" s="3" t="n">
        <v>812.7</v>
      </c>
      <c r="N208" s="3" t="n">
        <v>500</v>
      </c>
      <c r="O208" s="2" t="n">
        <v>45777</v>
      </c>
      <c r="P208" s="2" t="n">
        <v>45782</v>
      </c>
      <c r="Q208" t="inlineStr">
        <is>
          <t>Bank Transfer</t>
        </is>
      </c>
      <c r="R208" t="inlineStr">
        <is>
          <t>New</t>
        </is>
      </c>
      <c r="S208" t="n">
        <v>5</v>
      </c>
      <c r="T208" t="inlineStr">
        <is>
          <t>ok</t>
        </is>
      </c>
    </row>
    <row r="209">
      <c r="A209" t="inlineStr">
        <is>
          <t>O0208</t>
        </is>
      </c>
      <c r="B209" s="2" t="n">
        <v>45700</v>
      </c>
      <c r="C209" t="inlineStr">
        <is>
          <t>West</t>
        </is>
      </c>
      <c r="D209" t="inlineStr">
        <is>
          <t>Washington</t>
        </is>
      </c>
      <c r="E209" t="inlineStr">
        <is>
          <t>Rahul Mehta</t>
        </is>
      </c>
      <c r="F209" t="inlineStr">
        <is>
          <t xml:space="preserve"> Neha  Joshi </t>
        </is>
      </c>
      <c r="G209" t="inlineStr">
        <is>
          <t>Mobile</t>
        </is>
      </c>
      <c r="H209" t="inlineStr">
        <is>
          <t>P102</t>
        </is>
      </c>
      <c r="I209" t="inlineStr">
        <is>
          <t>Galaxy S24</t>
        </is>
      </c>
      <c r="J209" t="n">
        <v>7</v>
      </c>
      <c r="K209" s="3" t="n">
        <v>799</v>
      </c>
      <c r="L209" s="4" t="n">
        <v>0.02</v>
      </c>
      <c r="M209" s="3" t="n">
        <v>5481.14</v>
      </c>
      <c r="N209" s="3" t="n">
        <v>2500</v>
      </c>
      <c r="O209" s="2" t="n">
        <v>45703</v>
      </c>
      <c r="P209" s="2" t="n">
        <v>45705</v>
      </c>
      <c r="Q209" t="inlineStr">
        <is>
          <t>Cash</t>
        </is>
      </c>
      <c r="R209" t="inlineStr">
        <is>
          <t>New</t>
        </is>
      </c>
      <c r="S209" t="n">
        <v>1</v>
      </c>
      <c r="T209" t="inlineStr">
        <is>
          <t xml:space="preserve"> normal </t>
        </is>
      </c>
    </row>
    <row r="210">
      <c r="A210" t="inlineStr">
        <is>
          <t>O0209</t>
        </is>
      </c>
      <c r="B210" s="2" t="n">
        <v>45796</v>
      </c>
      <c r="C210" t="inlineStr">
        <is>
          <t>North</t>
        </is>
      </c>
      <c r="D210" t="inlineStr">
        <is>
          <t>Michigan</t>
        </is>
      </c>
      <c r="E210" t="inlineStr">
        <is>
          <t>John Smith</t>
        </is>
      </c>
      <c r="F210" t="inlineStr">
        <is>
          <t xml:space="preserve"> Neha  Joshi </t>
        </is>
      </c>
      <c r="G210" t="inlineStr">
        <is>
          <t>Tablet</t>
        </is>
      </c>
      <c r="H210" t="inlineStr">
        <is>
          <t>P106</t>
        </is>
      </c>
      <c r="I210" t="inlineStr">
        <is>
          <t>Galaxy Tab</t>
        </is>
      </c>
      <c r="J210" t="n">
        <v>2</v>
      </c>
      <c r="K210" s="3" t="n">
        <v>499</v>
      </c>
      <c r="L210" s="4" t="n">
        <v>0.02</v>
      </c>
      <c r="M210" s="3" t="n">
        <v>978.04</v>
      </c>
      <c r="N210" s="3" t="n">
        <v>1000</v>
      </c>
      <c r="O210" s="2" t="n">
        <v>45797</v>
      </c>
      <c r="P210" s="2" t="n">
        <v>45799</v>
      </c>
      <c r="Q210" t="inlineStr">
        <is>
          <t>Bank Transfer</t>
        </is>
      </c>
      <c r="R210" t="inlineStr">
        <is>
          <t>New</t>
        </is>
      </c>
      <c r="S210" t="n">
        <v>1</v>
      </c>
      <c r="T210" t="inlineStr">
        <is>
          <t xml:space="preserve"> normal </t>
        </is>
      </c>
    </row>
    <row r="211">
      <c r="A211" t="inlineStr">
        <is>
          <t>O0210</t>
        </is>
      </c>
      <c r="B211" s="2" t="n">
        <v>45963</v>
      </c>
      <c r="C211" t="inlineStr">
        <is>
          <t>North</t>
        </is>
      </c>
      <c r="D211" t="inlineStr">
        <is>
          <t>Minnesota</t>
        </is>
      </c>
      <c r="E211" t="inlineStr">
        <is>
          <t>Neha Joshi</t>
        </is>
      </c>
      <c r="F211" t="inlineStr">
        <is>
          <t>PRIYA PATEL</t>
        </is>
      </c>
      <c r="G211" t="inlineStr">
        <is>
          <t>Mobile</t>
        </is>
      </c>
      <c r="H211" t="inlineStr">
        <is>
          <t>P102</t>
        </is>
      </c>
      <c r="I211" t="inlineStr">
        <is>
          <t>Galaxy S24</t>
        </is>
      </c>
      <c r="J211" t="n">
        <v>6</v>
      </c>
      <c r="K211" s="3" t="n">
        <v>799</v>
      </c>
      <c r="L211" s="4" t="n">
        <v>0.1</v>
      </c>
      <c r="M211" s="3" t="n">
        <v>4314.6</v>
      </c>
      <c r="N211" s="3" t="n">
        <v>300</v>
      </c>
      <c r="O211" s="2" t="n">
        <v>45968</v>
      </c>
      <c r="P211" s="2" t="n">
        <v>45975</v>
      </c>
      <c r="Q211" t="inlineStr">
        <is>
          <t>Bank Transfer</t>
        </is>
      </c>
      <c r="R211" t="inlineStr">
        <is>
          <t>New</t>
        </is>
      </c>
      <c r="S211" t="n">
        <v>5</v>
      </c>
      <c r="T211" t="inlineStr">
        <is>
          <t>urgent</t>
        </is>
      </c>
    </row>
    <row r="212">
      <c r="A212" t="inlineStr">
        <is>
          <t>O0211</t>
        </is>
      </c>
      <c r="B212" s="2" t="n">
        <v>45744</v>
      </c>
      <c r="C212" t="inlineStr">
        <is>
          <t>West</t>
        </is>
      </c>
      <c r="D212" t="inlineStr">
        <is>
          <t>Washington</t>
        </is>
      </c>
      <c r="E212" t="inlineStr">
        <is>
          <t>Amit Shah</t>
        </is>
      </c>
      <c r="F212" t="inlineStr">
        <is>
          <t>rAhUl shAh</t>
        </is>
      </c>
      <c r="G212" t="inlineStr">
        <is>
          <t>Audio</t>
        </is>
      </c>
      <c r="H212" t="inlineStr">
        <is>
          <t>P107</t>
        </is>
      </c>
      <c r="I212" t="inlineStr">
        <is>
          <t>AirPods</t>
        </is>
      </c>
      <c r="J212" t="n">
        <v>5</v>
      </c>
      <c r="K212" s="3" t="n">
        <v>179</v>
      </c>
      <c r="L212" s="4" t="n">
        <v>0.05</v>
      </c>
      <c r="M212" s="3" t="n">
        <v>850.25</v>
      </c>
      <c r="N212" s="3" t="n">
        <v>1000</v>
      </c>
      <c r="O212" s="2" t="n">
        <v>45746</v>
      </c>
      <c r="P212" s="2" t="n">
        <v>45749</v>
      </c>
      <c r="Q212" t="inlineStr">
        <is>
          <t>UPI</t>
        </is>
      </c>
      <c r="R212" t="inlineStr">
        <is>
          <t>Returning</t>
        </is>
      </c>
      <c r="S212" t="n">
        <v>3</v>
      </c>
      <c r="T212" t="inlineStr">
        <is>
          <t xml:space="preserve">  follow-up  </t>
        </is>
      </c>
    </row>
    <row r="213">
      <c r="A213" t="inlineStr">
        <is>
          <t>O0212</t>
        </is>
      </c>
      <c r="B213" s="2" t="n">
        <v>45842</v>
      </c>
      <c r="C213" t="inlineStr">
        <is>
          <t>North</t>
        </is>
      </c>
      <c r="D213" t="inlineStr">
        <is>
          <t>Michigan</t>
        </is>
      </c>
      <c r="E213" t="inlineStr">
        <is>
          <t>Priya Patel</t>
        </is>
      </c>
      <c r="F213" t="inlineStr">
        <is>
          <t>John Smith</t>
        </is>
      </c>
      <c r="G213" t="inlineStr">
        <is>
          <t>Mobile</t>
        </is>
      </c>
      <c r="H213" t="inlineStr">
        <is>
          <t>P102</t>
        </is>
      </c>
      <c r="I213" t="inlineStr">
        <is>
          <t>Galaxy S24</t>
        </is>
      </c>
      <c r="J213" t="n">
        <v>12</v>
      </c>
      <c r="K213" s="3" t="n">
        <v>799</v>
      </c>
      <c r="L213" s="4" t="n">
        <v>0.1</v>
      </c>
      <c r="M213" s="3" t="n">
        <v>8629.200000000001</v>
      </c>
      <c r="N213" s="3" t="n">
        <v>1500</v>
      </c>
      <c r="O213" s="2" t="n">
        <v>45845</v>
      </c>
      <c r="P213" s="2" t="n">
        <v>45847</v>
      </c>
      <c r="Q213" t="inlineStr">
        <is>
          <t>Bank Transfer</t>
        </is>
      </c>
      <c r="R213" t="inlineStr">
        <is>
          <t>New</t>
        </is>
      </c>
      <c r="S213" t="n">
        <v>2</v>
      </c>
      <c r="T213" t="inlineStr">
        <is>
          <t>ok</t>
        </is>
      </c>
    </row>
    <row r="214">
      <c r="A214" t="inlineStr">
        <is>
          <t>O0213</t>
        </is>
      </c>
      <c r="B214" s="2" t="n">
        <v>45975</v>
      </c>
      <c r="C214" t="inlineStr">
        <is>
          <t>East</t>
        </is>
      </c>
      <c r="D214" t="inlineStr">
        <is>
          <t>Massachusetts</t>
        </is>
      </c>
      <c r="E214" t="inlineStr">
        <is>
          <t>Neha Joshi</t>
        </is>
      </c>
      <c r="F214" t="inlineStr">
        <is>
          <t>PRIYA PATEL</t>
        </is>
      </c>
      <c r="G214" t="inlineStr">
        <is>
          <t>Tablet</t>
        </is>
      </c>
      <c r="H214" t="inlineStr">
        <is>
          <t>P106</t>
        </is>
      </c>
      <c r="I214" t="inlineStr">
        <is>
          <t>Galaxy Tab</t>
        </is>
      </c>
      <c r="J214" t="n">
        <v>14</v>
      </c>
      <c r="K214" s="3" t="n">
        <v>499</v>
      </c>
      <c r="L214" s="4" t="n">
        <v>0.05</v>
      </c>
      <c r="M214" s="3" t="n">
        <v>6636.7</v>
      </c>
      <c r="N214" s="3" t="n">
        <v>1000</v>
      </c>
      <c r="O214" s="2" t="n">
        <v>45979</v>
      </c>
      <c r="P214" s="2" t="n">
        <v>45986</v>
      </c>
      <c r="Q214" t="inlineStr">
        <is>
          <t>UPI</t>
        </is>
      </c>
      <c r="R214" t="inlineStr">
        <is>
          <t>Returning</t>
        </is>
      </c>
      <c r="S214" t="n">
        <v>3</v>
      </c>
      <c r="T214" t="inlineStr">
        <is>
          <t>NORMAL</t>
        </is>
      </c>
    </row>
    <row r="215">
      <c r="A215" t="inlineStr">
        <is>
          <t>O0214</t>
        </is>
      </c>
      <c r="B215" s="2" t="n">
        <v>45748</v>
      </c>
      <c r="C215" t="inlineStr">
        <is>
          <t>West</t>
        </is>
      </c>
      <c r="D215" t="inlineStr">
        <is>
          <t>Texas</t>
        </is>
      </c>
      <c r="E215" t="inlineStr">
        <is>
          <t>Rahul Mehta</t>
        </is>
      </c>
      <c r="F215" t="inlineStr">
        <is>
          <t>rAhUl shAh</t>
        </is>
      </c>
      <c r="G215" t="inlineStr">
        <is>
          <t>Tablet</t>
        </is>
      </c>
      <c r="H215" t="inlineStr">
        <is>
          <t>P106</t>
        </is>
      </c>
      <c r="I215" t="inlineStr">
        <is>
          <t>Galaxy Tab</t>
        </is>
      </c>
      <c r="J215" t="n">
        <v>5</v>
      </c>
      <c r="K215" s="3" t="n">
        <v>499</v>
      </c>
      <c r="L215" s="4" t="n">
        <v>0.1</v>
      </c>
      <c r="M215" s="3" t="n">
        <v>2245.5</v>
      </c>
      <c r="N215" s="3" t="n">
        <v>1500</v>
      </c>
      <c r="O215" s="2" t="n">
        <v>45752</v>
      </c>
      <c r="P215" s="2" t="n">
        <v>45755</v>
      </c>
      <c r="Q215" t="inlineStr">
        <is>
          <t>Bank Transfer</t>
        </is>
      </c>
      <c r="R215" t="inlineStr">
        <is>
          <t>Returning</t>
        </is>
      </c>
      <c r="S215" t="n">
        <v>4</v>
      </c>
      <c r="T215" t="inlineStr">
        <is>
          <t>ok</t>
        </is>
      </c>
    </row>
    <row r="216">
      <c r="A216" t="inlineStr">
        <is>
          <t>O0215</t>
        </is>
      </c>
      <c r="B216" s="2" t="n">
        <v>45961</v>
      </c>
      <c r="C216" t="inlineStr">
        <is>
          <t>East</t>
        </is>
      </c>
      <c r="D216" t="inlineStr">
        <is>
          <t>New Jersey</t>
        </is>
      </c>
      <c r="E216" t="inlineStr">
        <is>
          <t>Neha Joshi</t>
        </is>
      </c>
      <c r="F216" t="inlineStr">
        <is>
          <t>Sara Khan</t>
        </is>
      </c>
      <c r="G216" t="inlineStr">
        <is>
          <t>Laptop</t>
        </is>
      </c>
      <c r="H216" t="inlineStr">
        <is>
          <t>P104</t>
        </is>
      </c>
      <c r="I216" t="inlineStr">
        <is>
          <t>Inspiron 15</t>
        </is>
      </c>
      <c r="J216" t="n">
        <v>11</v>
      </c>
      <c r="K216" s="3" t="n">
        <v>749</v>
      </c>
      <c r="L216" s="4" t="n">
        <v>0.15</v>
      </c>
      <c r="M216" s="3" t="n">
        <v>7003.15</v>
      </c>
      <c r="N216" s="3" t="n">
        <v>300</v>
      </c>
      <c r="O216" s="2" t="n">
        <v>45966</v>
      </c>
      <c r="P216" s="2" t="n">
        <v>45968</v>
      </c>
      <c r="Q216" t="inlineStr">
        <is>
          <t>UPI</t>
        </is>
      </c>
      <c r="R216" t="inlineStr">
        <is>
          <t>Returning</t>
        </is>
      </c>
      <c r="S216" t="n">
        <v>3</v>
      </c>
      <c r="T216" t="inlineStr"/>
    </row>
    <row r="217">
      <c r="A217" t="inlineStr">
        <is>
          <t>O0216</t>
        </is>
      </c>
      <c r="B217" s="2" t="n">
        <v>45913</v>
      </c>
      <c r="C217" t="inlineStr">
        <is>
          <t>East</t>
        </is>
      </c>
      <c r="D217" t="inlineStr">
        <is>
          <t>Massachusetts</t>
        </is>
      </c>
      <c r="E217" t="inlineStr">
        <is>
          <t>Priya Patel</t>
        </is>
      </c>
      <c r="F217" t="inlineStr">
        <is>
          <t>Sara Khan</t>
        </is>
      </c>
      <c r="G217" t="inlineStr">
        <is>
          <t>Accessory</t>
        </is>
      </c>
      <c r="H217" t="inlineStr">
        <is>
          <t>P111</t>
        </is>
      </c>
      <c r="I217" t="inlineStr">
        <is>
          <t>Mouse</t>
        </is>
      </c>
      <c r="J217" t="n">
        <v>5</v>
      </c>
      <c r="K217" s="3" t="n">
        <v>39</v>
      </c>
      <c r="L217" s="4" t="n">
        <v>0.02</v>
      </c>
      <c r="M217" s="3" t="n">
        <v>191.1</v>
      </c>
      <c r="N217" s="3" t="n">
        <v>750</v>
      </c>
      <c r="O217" s="2" t="n">
        <v>45915</v>
      </c>
      <c r="P217" s="2" t="n">
        <v>45921</v>
      </c>
      <c r="Q217" t="inlineStr">
        <is>
          <t>Bank Transfer</t>
        </is>
      </c>
      <c r="R217" t="inlineStr">
        <is>
          <t>Returning</t>
        </is>
      </c>
      <c r="S217" t="n">
        <v>1</v>
      </c>
      <c r="T217" t="inlineStr">
        <is>
          <t xml:space="preserve">  follow-up  </t>
        </is>
      </c>
    </row>
    <row r="218">
      <c r="A218" t="inlineStr">
        <is>
          <t>O0217</t>
        </is>
      </c>
      <c r="B218" s="2" t="n">
        <v>45931</v>
      </c>
      <c r="C218" t="inlineStr">
        <is>
          <t>South</t>
        </is>
      </c>
      <c r="D218" t="inlineStr">
        <is>
          <t>Texas</t>
        </is>
      </c>
      <c r="E218" t="inlineStr">
        <is>
          <t>Rahul Mehta</t>
        </is>
      </c>
      <c r="F218" t="inlineStr">
        <is>
          <t xml:space="preserve"> Rahul Shah </t>
        </is>
      </c>
      <c r="G218" t="inlineStr">
        <is>
          <t>Audio</t>
        </is>
      </c>
      <c r="H218" t="inlineStr">
        <is>
          <t>P107</t>
        </is>
      </c>
      <c r="I218" t="inlineStr">
        <is>
          <t>AirPods</t>
        </is>
      </c>
      <c r="J218" t="n">
        <v>12</v>
      </c>
      <c r="K218" s="3" t="n">
        <v>179</v>
      </c>
      <c r="L218" s="4" t="n">
        <v>0.1</v>
      </c>
      <c r="M218" s="3" t="n">
        <v>1933.2</v>
      </c>
      <c r="N218" s="3" t="n">
        <v>1500</v>
      </c>
      <c r="O218" s="2" t="n">
        <v>45936</v>
      </c>
      <c r="P218" s="2" t="n">
        <v>45943</v>
      </c>
      <c r="Q218" t="inlineStr">
        <is>
          <t>Credit Card</t>
        </is>
      </c>
      <c r="R218" t="inlineStr">
        <is>
          <t>New</t>
        </is>
      </c>
      <c r="S218" t="n">
        <v>2</v>
      </c>
      <c r="T218" t="inlineStr">
        <is>
          <t>refund pending</t>
        </is>
      </c>
    </row>
    <row r="219">
      <c r="A219" t="inlineStr">
        <is>
          <t>O0218</t>
        </is>
      </c>
      <c r="B219" s="2" t="n">
        <v>45971</v>
      </c>
      <c r="C219" t="inlineStr">
        <is>
          <t>North</t>
        </is>
      </c>
      <c r="D219" t="inlineStr">
        <is>
          <t>Illinois</t>
        </is>
      </c>
      <c r="E219" t="inlineStr">
        <is>
          <t>Neha Joshi</t>
        </is>
      </c>
      <c r="F219" t="inlineStr">
        <is>
          <t>PRIYA PATEL</t>
        </is>
      </c>
      <c r="G219" t="inlineStr">
        <is>
          <t>Accessory</t>
        </is>
      </c>
      <c r="H219" t="inlineStr">
        <is>
          <t>P111</t>
        </is>
      </c>
      <c r="I219" t="inlineStr">
        <is>
          <t>Mouse</t>
        </is>
      </c>
      <c r="J219" t="n">
        <v>11</v>
      </c>
      <c r="K219" s="3" t="n">
        <v>39</v>
      </c>
      <c r="L219" s="4" t="n">
        <v>0.1</v>
      </c>
      <c r="M219" s="3" t="n">
        <v>386.1</v>
      </c>
      <c r="N219" s="3" t="n">
        <v>5000</v>
      </c>
      <c r="O219" s="2" t="n">
        <v>45972</v>
      </c>
      <c r="P219" s="2" t="n">
        <v>45977</v>
      </c>
      <c r="Q219" t="inlineStr">
        <is>
          <t>Credit Card</t>
        </is>
      </c>
      <c r="R219" t="inlineStr">
        <is>
          <t>New</t>
        </is>
      </c>
      <c r="S219" t="n">
        <v>1</v>
      </c>
      <c r="T219" t="inlineStr">
        <is>
          <t>ok</t>
        </is>
      </c>
    </row>
    <row r="220">
      <c r="A220" t="inlineStr">
        <is>
          <t>O0219</t>
        </is>
      </c>
      <c r="B220" s="2" t="n">
        <v>45923</v>
      </c>
      <c r="C220" t="inlineStr">
        <is>
          <t>West</t>
        </is>
      </c>
      <c r="D220" t="inlineStr">
        <is>
          <t>Washington</t>
        </is>
      </c>
      <c r="E220" t="inlineStr">
        <is>
          <t>Rahul Mehta</t>
        </is>
      </c>
      <c r="F220" t="inlineStr">
        <is>
          <t xml:space="preserve"> Neha  Joshi </t>
        </is>
      </c>
      <c r="G220" t="inlineStr">
        <is>
          <t>Accessory</t>
        </is>
      </c>
      <c r="H220" t="inlineStr">
        <is>
          <t>P112</t>
        </is>
      </c>
      <c r="I220" t="inlineStr">
        <is>
          <t>PowerBank</t>
        </is>
      </c>
      <c r="J220" t="n">
        <v>12</v>
      </c>
      <c r="K220" s="3" t="n">
        <v>49</v>
      </c>
      <c r="L220" s="4" t="n">
        <v>0.15</v>
      </c>
      <c r="M220" s="3" t="n">
        <v>499.8</v>
      </c>
      <c r="N220" s="3" t="n">
        <v>500</v>
      </c>
      <c r="O220" s="2" t="n">
        <v>45928</v>
      </c>
      <c r="P220" s="2" t="n">
        <v>45933</v>
      </c>
      <c r="Q220" t="inlineStr">
        <is>
          <t>Bank Transfer</t>
        </is>
      </c>
      <c r="R220" t="inlineStr">
        <is>
          <t>Returning</t>
        </is>
      </c>
      <c r="S220" t="n">
        <v>5</v>
      </c>
      <c r="T220" t="inlineStr">
        <is>
          <t>refund pending</t>
        </is>
      </c>
    </row>
    <row r="221">
      <c r="A221" t="inlineStr">
        <is>
          <t>O0220</t>
        </is>
      </c>
      <c r="B221" s="2" t="n">
        <v>45905</v>
      </c>
      <c r="C221" t="inlineStr">
        <is>
          <t>West</t>
        </is>
      </c>
      <c r="D221" t="inlineStr">
        <is>
          <t>Texas</t>
        </is>
      </c>
      <c r="E221" t="inlineStr">
        <is>
          <t>Priya Patel</t>
        </is>
      </c>
      <c r="F221" t="inlineStr">
        <is>
          <t>Sara Khan</t>
        </is>
      </c>
      <c r="G221" t="inlineStr">
        <is>
          <t>Mobile</t>
        </is>
      </c>
      <c r="H221" t="inlineStr">
        <is>
          <t>P101</t>
        </is>
      </c>
      <c r="I221" t="inlineStr">
        <is>
          <t>iPhone 15</t>
        </is>
      </c>
      <c r="J221" t="n">
        <v>7</v>
      </c>
      <c r="K221" s="3" t="n">
        <v>699</v>
      </c>
      <c r="L221" s="4" t="n">
        <v>0</v>
      </c>
      <c r="M221" s="3" t="n">
        <v>4893</v>
      </c>
      <c r="N221" s="3" t="n">
        <v>300</v>
      </c>
      <c r="O221" s="2" t="n">
        <v>45906</v>
      </c>
      <c r="P221" s="2" t="n">
        <v>45909</v>
      </c>
      <c r="Q221" t="inlineStr">
        <is>
          <t>Cash</t>
        </is>
      </c>
      <c r="R221" t="inlineStr">
        <is>
          <t>Returning</t>
        </is>
      </c>
      <c r="S221" t="n">
        <v>3</v>
      </c>
      <c r="T221" t="inlineStr">
        <is>
          <t xml:space="preserve">  follow-up  </t>
        </is>
      </c>
    </row>
    <row r="222">
      <c r="A222" t="inlineStr">
        <is>
          <t>O0221</t>
        </is>
      </c>
      <c r="B222" s="2" t="n">
        <v>45836</v>
      </c>
      <c r="C222" t="inlineStr">
        <is>
          <t>West</t>
        </is>
      </c>
      <c r="D222" t="inlineStr">
        <is>
          <t>Washington</t>
        </is>
      </c>
      <c r="E222" t="inlineStr">
        <is>
          <t>Rahul Mehta</t>
        </is>
      </c>
      <c r="F222" t="inlineStr">
        <is>
          <t xml:space="preserve"> Rahul Shah </t>
        </is>
      </c>
      <c r="G222" t="inlineStr">
        <is>
          <t>Audio</t>
        </is>
      </c>
      <c r="H222" t="inlineStr">
        <is>
          <t>P108</t>
        </is>
      </c>
      <c r="I222" t="inlineStr">
        <is>
          <t>Buds Pro</t>
        </is>
      </c>
      <c r="J222" t="n">
        <v>8</v>
      </c>
      <c r="K222" s="3" t="n">
        <v>129</v>
      </c>
      <c r="L222" s="4" t="n">
        <v>0.1</v>
      </c>
      <c r="M222" s="3" t="n">
        <v>928.8</v>
      </c>
      <c r="N222" s="3" t="n">
        <v>750</v>
      </c>
      <c r="O222" s="2" t="n">
        <v>45840</v>
      </c>
      <c r="P222" s="2" t="n">
        <v>45841</v>
      </c>
      <c r="Q222" t="inlineStr">
        <is>
          <t>Credit Card</t>
        </is>
      </c>
      <c r="R222" t="inlineStr">
        <is>
          <t>Corporate</t>
        </is>
      </c>
      <c r="S222" t="n">
        <v>1</v>
      </c>
      <c r="T222" t="inlineStr">
        <is>
          <t xml:space="preserve"> normal </t>
        </is>
      </c>
    </row>
    <row r="223">
      <c r="A223" t="inlineStr">
        <is>
          <t>O0222</t>
        </is>
      </c>
      <c r="B223" s="2" t="n">
        <v>46004</v>
      </c>
      <c r="C223" t="inlineStr">
        <is>
          <t>North</t>
        </is>
      </c>
      <c r="D223" t="inlineStr">
        <is>
          <t>Minnesota</t>
        </is>
      </c>
      <c r="E223" t="inlineStr">
        <is>
          <t>Priya Patel</t>
        </is>
      </c>
      <c r="F223" t="inlineStr">
        <is>
          <t xml:space="preserve">John Smith </t>
        </is>
      </c>
      <c r="G223" t="inlineStr">
        <is>
          <t>Mobile</t>
        </is>
      </c>
      <c r="H223" t="inlineStr">
        <is>
          <t>P102</t>
        </is>
      </c>
      <c r="I223" t="inlineStr">
        <is>
          <t>Galaxy S24</t>
        </is>
      </c>
      <c r="J223" t="n">
        <v>4</v>
      </c>
      <c r="K223" s="3" t="n">
        <v>799</v>
      </c>
      <c r="L223" s="4" t="n">
        <v>0.15</v>
      </c>
      <c r="M223" s="3" t="n">
        <v>2716.6</v>
      </c>
      <c r="N223" s="3" t="n">
        <v>500</v>
      </c>
      <c r="O223" s="2" t="n">
        <v>46006</v>
      </c>
      <c r="P223" s="2" t="n">
        <v>46012</v>
      </c>
      <c r="Q223" t="inlineStr">
        <is>
          <t>Cash</t>
        </is>
      </c>
      <c r="R223" t="inlineStr">
        <is>
          <t>Corporate</t>
        </is>
      </c>
      <c r="S223" t="n">
        <v>4</v>
      </c>
      <c r="T223" t="inlineStr">
        <is>
          <t xml:space="preserve">  follow-up  </t>
        </is>
      </c>
    </row>
    <row r="224">
      <c r="A224" t="inlineStr">
        <is>
          <t>O0223</t>
        </is>
      </c>
      <c r="B224" s="2" t="n">
        <v>45752</v>
      </c>
      <c r="C224" t="inlineStr">
        <is>
          <t>West</t>
        </is>
      </c>
      <c r="D224" t="inlineStr">
        <is>
          <t>Texas</t>
        </is>
      </c>
      <c r="E224" t="inlineStr">
        <is>
          <t>Sara Khan</t>
        </is>
      </c>
      <c r="F224" t="inlineStr">
        <is>
          <t xml:space="preserve"> Rahul Shah </t>
        </is>
      </c>
      <c r="G224" t="inlineStr">
        <is>
          <t>Accessory</t>
        </is>
      </c>
      <c r="H224" t="inlineStr">
        <is>
          <t>P111</t>
        </is>
      </c>
      <c r="I224" t="inlineStr">
        <is>
          <t>Mouse</t>
        </is>
      </c>
      <c r="J224" t="n">
        <v>11</v>
      </c>
      <c r="K224" s="3" t="n">
        <v>39</v>
      </c>
      <c r="L224" s="4" t="n">
        <v>0.1</v>
      </c>
      <c r="M224" s="3" t="n">
        <v>386.1</v>
      </c>
      <c r="N224" s="3" t="n">
        <v>1000</v>
      </c>
      <c r="O224" s="2" t="n">
        <v>45754</v>
      </c>
      <c r="P224" s="2" t="n">
        <v>45760</v>
      </c>
      <c r="Q224" t="inlineStr">
        <is>
          <t>UPI</t>
        </is>
      </c>
      <c r="R224" t="inlineStr">
        <is>
          <t>Returning</t>
        </is>
      </c>
      <c r="S224" t="n">
        <v>5</v>
      </c>
      <c r="T224" t="inlineStr">
        <is>
          <t xml:space="preserve">  follow-up  </t>
        </is>
      </c>
    </row>
    <row r="225">
      <c r="A225" t="inlineStr">
        <is>
          <t>O0224</t>
        </is>
      </c>
      <c r="B225" s="2" t="n">
        <v>45767</v>
      </c>
      <c r="C225" t="inlineStr">
        <is>
          <t>South</t>
        </is>
      </c>
      <c r="D225" t="inlineStr">
        <is>
          <t>Florida</t>
        </is>
      </c>
      <c r="E225" t="inlineStr">
        <is>
          <t>John Smith</t>
        </is>
      </c>
      <c r="F225" t="inlineStr">
        <is>
          <t xml:space="preserve"> Rahul Shah </t>
        </is>
      </c>
      <c r="G225" t="inlineStr">
        <is>
          <t>Accessory</t>
        </is>
      </c>
      <c r="H225" t="inlineStr">
        <is>
          <t>P112</t>
        </is>
      </c>
      <c r="I225" t="inlineStr">
        <is>
          <t>PowerBank</t>
        </is>
      </c>
      <c r="J225" t="n">
        <v>13</v>
      </c>
      <c r="K225" s="3" t="n">
        <v>49</v>
      </c>
      <c r="L225" s="4" t="n">
        <v>0</v>
      </c>
      <c r="M225" s="3" t="n">
        <v>637</v>
      </c>
      <c r="N225" s="3" t="n">
        <v>1500</v>
      </c>
      <c r="O225" s="2" t="n">
        <v>45769</v>
      </c>
      <c r="P225" s="2" t="n">
        <v>45772</v>
      </c>
      <c r="Q225" t="inlineStr">
        <is>
          <t>UPI</t>
        </is>
      </c>
      <c r="R225" t="inlineStr">
        <is>
          <t>Returning</t>
        </is>
      </c>
      <c r="S225" t="n">
        <v>3</v>
      </c>
      <c r="T225" t="inlineStr">
        <is>
          <t>urgent</t>
        </is>
      </c>
    </row>
    <row r="226">
      <c r="A226" t="inlineStr">
        <is>
          <t>O0225</t>
        </is>
      </c>
      <c r="B226" s="2" t="n">
        <v>46001</v>
      </c>
      <c r="C226" t="inlineStr">
        <is>
          <t>South</t>
        </is>
      </c>
      <c r="D226" t="inlineStr">
        <is>
          <t>Florida</t>
        </is>
      </c>
      <c r="E226" t="inlineStr">
        <is>
          <t>John Smith</t>
        </is>
      </c>
      <c r="F226" t="inlineStr">
        <is>
          <t xml:space="preserve"> Neha  Joshi </t>
        </is>
      </c>
      <c r="G226" t="inlineStr">
        <is>
          <t>Tablet</t>
        </is>
      </c>
      <c r="H226" t="inlineStr">
        <is>
          <t>P105</t>
        </is>
      </c>
      <c r="I226" t="inlineStr">
        <is>
          <t>iPad Air</t>
        </is>
      </c>
      <c r="J226" t="n">
        <v>11</v>
      </c>
      <c r="K226" s="3" t="n">
        <v>599</v>
      </c>
      <c r="L226" s="4" t="n">
        <v>0.05</v>
      </c>
      <c r="M226" s="3" t="n">
        <v>6259.55</v>
      </c>
      <c r="N226" s="3" t="n">
        <v>1500</v>
      </c>
      <c r="O226" s="2" t="n">
        <v>46005</v>
      </c>
      <c r="P226" s="2" t="n">
        <v>46010</v>
      </c>
      <c r="Q226" t="inlineStr">
        <is>
          <t>Bank Transfer</t>
        </is>
      </c>
      <c r="R226" t="inlineStr">
        <is>
          <t>Corporate</t>
        </is>
      </c>
      <c r="S226" t="n">
        <v>1</v>
      </c>
      <c r="T226" t="inlineStr">
        <is>
          <t>ok</t>
        </is>
      </c>
    </row>
    <row r="227">
      <c r="A227" t="inlineStr">
        <is>
          <t>O0226</t>
        </is>
      </c>
      <c r="B227" s="2" t="n">
        <v>45746</v>
      </c>
      <c r="C227" t="inlineStr">
        <is>
          <t>North</t>
        </is>
      </c>
      <c r="D227" t="inlineStr">
        <is>
          <t>Michigan</t>
        </is>
      </c>
      <c r="E227" t="inlineStr">
        <is>
          <t>Rahul Mehta</t>
        </is>
      </c>
      <c r="F227" t="inlineStr">
        <is>
          <t>rAhUl shAh</t>
        </is>
      </c>
      <c r="G227" t="inlineStr">
        <is>
          <t>Accessory</t>
        </is>
      </c>
      <c r="H227" t="inlineStr">
        <is>
          <t>P110</t>
        </is>
      </c>
      <c r="I227" t="inlineStr">
        <is>
          <t>Keyboard</t>
        </is>
      </c>
      <c r="J227" t="n">
        <v>10</v>
      </c>
      <c r="K227" s="3" t="n">
        <v>59</v>
      </c>
      <c r="L227" s="4" t="n">
        <v>0</v>
      </c>
      <c r="M227" s="3" t="n">
        <v>590</v>
      </c>
      <c r="N227" s="3" t="n">
        <v>2500</v>
      </c>
      <c r="O227" s="2" t="n">
        <v>45749</v>
      </c>
      <c r="P227" s="2" t="n">
        <v>45754</v>
      </c>
      <c r="Q227" t="inlineStr">
        <is>
          <t>Credit Card</t>
        </is>
      </c>
      <c r="R227" t="inlineStr">
        <is>
          <t>New</t>
        </is>
      </c>
      <c r="S227" t="n">
        <v>3</v>
      </c>
      <c r="T227" t="inlineStr">
        <is>
          <t xml:space="preserve"> normal </t>
        </is>
      </c>
    </row>
    <row r="228">
      <c r="A228" t="inlineStr">
        <is>
          <t>O0227</t>
        </is>
      </c>
      <c r="B228" s="2" t="n">
        <v>45730</v>
      </c>
      <c r="C228" t="inlineStr">
        <is>
          <t>West</t>
        </is>
      </c>
      <c r="D228" t="inlineStr">
        <is>
          <t>Texas</t>
        </is>
      </c>
      <c r="E228" t="inlineStr">
        <is>
          <t>Neha Joshi</t>
        </is>
      </c>
      <c r="F228" t="inlineStr">
        <is>
          <t>John Smith</t>
        </is>
      </c>
      <c r="G228" t="inlineStr">
        <is>
          <t>Accessory</t>
        </is>
      </c>
      <c r="H228" t="inlineStr">
        <is>
          <t>P112</t>
        </is>
      </c>
      <c r="I228" t="inlineStr">
        <is>
          <t>PowerBank</t>
        </is>
      </c>
      <c r="J228" t="n">
        <v>7</v>
      </c>
      <c r="K228" s="3" t="n">
        <v>49</v>
      </c>
      <c r="L228" s="4" t="n">
        <v>0.15</v>
      </c>
      <c r="M228" s="3" t="n">
        <v>291.55</v>
      </c>
      <c r="N228" s="3" t="n">
        <v>500</v>
      </c>
      <c r="O228" s="2" t="n">
        <v>45735</v>
      </c>
      <c r="P228" s="2" t="n">
        <v>45739</v>
      </c>
      <c r="Q228" t="inlineStr">
        <is>
          <t>Bank Transfer</t>
        </is>
      </c>
      <c r="R228" t="inlineStr">
        <is>
          <t>New</t>
        </is>
      </c>
      <c r="S228" t="n">
        <v>4</v>
      </c>
      <c r="T228" t="inlineStr">
        <is>
          <t>refund pending</t>
        </is>
      </c>
    </row>
    <row r="229">
      <c r="A229" t="inlineStr">
        <is>
          <t>O0228</t>
        </is>
      </c>
      <c r="B229" s="2" t="n">
        <v>45908</v>
      </c>
      <c r="C229" t="inlineStr">
        <is>
          <t>West</t>
        </is>
      </c>
      <c r="D229" t="inlineStr">
        <is>
          <t>Washington</t>
        </is>
      </c>
      <c r="E229" t="inlineStr">
        <is>
          <t>John Smith</t>
        </is>
      </c>
      <c r="F229" t="inlineStr">
        <is>
          <t xml:space="preserve"> Neha  Joshi </t>
        </is>
      </c>
      <c r="G229" t="inlineStr">
        <is>
          <t>Laptop</t>
        </is>
      </c>
      <c r="H229" t="inlineStr">
        <is>
          <t>P103</t>
        </is>
      </c>
      <c r="I229" t="inlineStr">
        <is>
          <t>ThinkPad E14</t>
        </is>
      </c>
      <c r="J229" t="n">
        <v>3</v>
      </c>
      <c r="K229" s="3" t="n">
        <v>899</v>
      </c>
      <c r="L229" s="4" t="n">
        <v>0.05</v>
      </c>
      <c r="M229" s="3" t="n">
        <v>2562.15</v>
      </c>
      <c r="N229" s="3" t="n">
        <v>5000</v>
      </c>
      <c r="O229" s="2" t="n">
        <v>45911</v>
      </c>
      <c r="P229" s="2" t="n">
        <v>45913</v>
      </c>
      <c r="Q229" t="inlineStr">
        <is>
          <t>Credit Card</t>
        </is>
      </c>
      <c r="R229" t="inlineStr">
        <is>
          <t>Returning</t>
        </is>
      </c>
      <c r="S229" t="n">
        <v>1</v>
      </c>
      <c r="T229" t="inlineStr">
        <is>
          <t xml:space="preserve">  follow-up  </t>
        </is>
      </c>
    </row>
    <row r="230">
      <c r="A230" t="inlineStr">
        <is>
          <t>O0229</t>
        </is>
      </c>
      <c r="B230" s="2" t="n">
        <v>45945</v>
      </c>
      <c r="C230" t="inlineStr">
        <is>
          <t>West</t>
        </is>
      </c>
      <c r="D230" t="inlineStr">
        <is>
          <t>California</t>
        </is>
      </c>
      <c r="E230" t="inlineStr">
        <is>
          <t>Neha Joshi</t>
        </is>
      </c>
      <c r="F230" t="inlineStr">
        <is>
          <t xml:space="preserve"> Neha  Joshi </t>
        </is>
      </c>
      <c r="G230" t="inlineStr">
        <is>
          <t>Audio</t>
        </is>
      </c>
      <c r="H230" t="inlineStr">
        <is>
          <t>P107</t>
        </is>
      </c>
      <c r="I230" t="inlineStr">
        <is>
          <t>AirPods</t>
        </is>
      </c>
      <c r="J230" t="n">
        <v>8</v>
      </c>
      <c r="K230" s="3" t="n">
        <v>179</v>
      </c>
      <c r="L230" s="4" t="n">
        <v>0.1</v>
      </c>
      <c r="M230" s="3" t="n">
        <v>1288.8</v>
      </c>
      <c r="N230" s="3" t="n">
        <v>2500</v>
      </c>
      <c r="O230" s="2" t="n">
        <v>45950</v>
      </c>
      <c r="P230" s="2" t="n">
        <v>45956</v>
      </c>
      <c r="Q230" t="inlineStr">
        <is>
          <t>Bank Transfer</t>
        </is>
      </c>
      <c r="R230" t="inlineStr">
        <is>
          <t>Returning</t>
        </is>
      </c>
      <c r="S230" t="n">
        <v>2</v>
      </c>
      <c r="T230" t="inlineStr">
        <is>
          <t xml:space="preserve"> normal </t>
        </is>
      </c>
    </row>
    <row r="231">
      <c r="A231" t="inlineStr">
        <is>
          <t>O0230</t>
        </is>
      </c>
      <c r="B231" s="2" t="n">
        <v>45674</v>
      </c>
      <c r="C231" t="inlineStr">
        <is>
          <t>East</t>
        </is>
      </c>
      <c r="D231" t="inlineStr">
        <is>
          <t>New York</t>
        </is>
      </c>
      <c r="E231" t="inlineStr">
        <is>
          <t>John Smith</t>
        </is>
      </c>
      <c r="F231" t="inlineStr">
        <is>
          <t xml:space="preserve"> Neha  Joshi </t>
        </is>
      </c>
      <c r="G231" t="inlineStr">
        <is>
          <t>Tablet</t>
        </is>
      </c>
      <c r="H231" t="inlineStr">
        <is>
          <t>P105</t>
        </is>
      </c>
      <c r="I231" t="inlineStr">
        <is>
          <t>iPad Air</t>
        </is>
      </c>
      <c r="J231" t="n">
        <v>9</v>
      </c>
      <c r="K231" s="3" t="n">
        <v>599</v>
      </c>
      <c r="L231" s="4" t="n">
        <v>0.05</v>
      </c>
      <c r="M231" s="3" t="n">
        <v>5121.45</v>
      </c>
      <c r="N231" s="3" t="n">
        <v>500</v>
      </c>
      <c r="O231" s="2" t="n">
        <v>45677</v>
      </c>
      <c r="P231" s="2" t="n">
        <v>45679</v>
      </c>
      <c r="Q231" t="inlineStr">
        <is>
          <t>Bank Transfer</t>
        </is>
      </c>
      <c r="R231" t="inlineStr">
        <is>
          <t>Corporate</t>
        </is>
      </c>
      <c r="S231" t="n">
        <v>5</v>
      </c>
      <c r="T231" t="inlineStr">
        <is>
          <t xml:space="preserve"> normal </t>
        </is>
      </c>
    </row>
    <row r="232">
      <c r="A232" t="inlineStr">
        <is>
          <t>O0231</t>
        </is>
      </c>
      <c r="B232" s="2" t="n">
        <v>45845</v>
      </c>
      <c r="C232" t="inlineStr">
        <is>
          <t>East</t>
        </is>
      </c>
      <c r="D232" t="inlineStr">
        <is>
          <t>Massachusetts</t>
        </is>
      </c>
      <c r="E232" t="inlineStr">
        <is>
          <t>Neha Joshi</t>
        </is>
      </c>
      <c r="F232" t="inlineStr">
        <is>
          <t>Sara Khan</t>
        </is>
      </c>
      <c r="G232" t="inlineStr">
        <is>
          <t>Monitor</t>
        </is>
      </c>
      <c r="H232" t="inlineStr">
        <is>
          <t>P109</t>
        </is>
      </c>
      <c r="I232" t="inlineStr">
        <is>
          <t>Monitor 24</t>
        </is>
      </c>
      <c r="J232" t="n">
        <v>13</v>
      </c>
      <c r="K232" s="3" t="n">
        <v>229</v>
      </c>
      <c r="L232" s="4" t="n">
        <v>0</v>
      </c>
      <c r="M232" s="3" t="n">
        <v>2977</v>
      </c>
      <c r="N232" s="3" t="n">
        <v>5000</v>
      </c>
      <c r="O232" s="2" t="n">
        <v>45850</v>
      </c>
      <c r="P232" s="2" t="n">
        <v>45857</v>
      </c>
      <c r="Q232" t="inlineStr">
        <is>
          <t>UPI</t>
        </is>
      </c>
      <c r="R232" t="inlineStr">
        <is>
          <t>Returning</t>
        </is>
      </c>
      <c r="S232" t="n">
        <v>1</v>
      </c>
      <c r="T232" t="inlineStr">
        <is>
          <t>refund pending</t>
        </is>
      </c>
    </row>
    <row r="233">
      <c r="A233" t="inlineStr">
        <is>
          <t>O0232</t>
        </is>
      </c>
      <c r="B233" s="2" t="n">
        <v>45888</v>
      </c>
      <c r="C233" t="inlineStr">
        <is>
          <t>West</t>
        </is>
      </c>
      <c r="D233" t="inlineStr">
        <is>
          <t>Texas</t>
        </is>
      </c>
      <c r="E233" t="inlineStr">
        <is>
          <t>Priya Patel</t>
        </is>
      </c>
      <c r="F233" t="inlineStr">
        <is>
          <t xml:space="preserve"> Rahul Shah </t>
        </is>
      </c>
      <c r="G233" t="inlineStr">
        <is>
          <t>Mobile</t>
        </is>
      </c>
      <c r="H233" t="inlineStr">
        <is>
          <t>P101</t>
        </is>
      </c>
      <c r="I233" t="inlineStr">
        <is>
          <t>iPhone 15</t>
        </is>
      </c>
      <c r="J233" t="n">
        <v>14</v>
      </c>
      <c r="K233" s="3" t="n">
        <v>699</v>
      </c>
      <c r="L233" s="4" t="n">
        <v>0</v>
      </c>
      <c r="M233" s="3" t="n">
        <v>9786</v>
      </c>
      <c r="N233" s="3" t="n">
        <v>1000</v>
      </c>
      <c r="O233" s="2" t="n">
        <v>45891</v>
      </c>
      <c r="P233" s="2" t="n">
        <v>45894</v>
      </c>
      <c r="Q233" t="inlineStr">
        <is>
          <t>UPI</t>
        </is>
      </c>
      <c r="R233" t="inlineStr">
        <is>
          <t>Corporate</t>
        </is>
      </c>
      <c r="S233" t="n">
        <v>5</v>
      </c>
      <c r="T233" t="inlineStr">
        <is>
          <t>refund pending</t>
        </is>
      </c>
    </row>
    <row r="234">
      <c r="A234" t="inlineStr">
        <is>
          <t>O0233</t>
        </is>
      </c>
      <c r="B234" s="2" t="n">
        <v>45981</v>
      </c>
      <c r="C234" t="inlineStr">
        <is>
          <t>North</t>
        </is>
      </c>
      <c r="D234" t="inlineStr">
        <is>
          <t>Minnesota</t>
        </is>
      </c>
      <c r="E234" t="inlineStr">
        <is>
          <t>Priya Patel</t>
        </is>
      </c>
      <c r="F234" t="inlineStr">
        <is>
          <t>rAhUl shAh</t>
        </is>
      </c>
      <c r="G234" t="inlineStr">
        <is>
          <t>Accessory</t>
        </is>
      </c>
      <c r="H234" t="inlineStr">
        <is>
          <t>P110</t>
        </is>
      </c>
      <c r="I234" t="inlineStr">
        <is>
          <t>Keyboard</t>
        </is>
      </c>
      <c r="J234" t="n">
        <v>10</v>
      </c>
      <c r="K234" s="3" t="n">
        <v>59</v>
      </c>
      <c r="L234" s="4" t="n">
        <v>0.02</v>
      </c>
      <c r="M234" s="3" t="n">
        <v>578.2</v>
      </c>
      <c r="N234" s="3" t="n">
        <v>5000</v>
      </c>
      <c r="O234" s="2" t="n">
        <v>45985</v>
      </c>
      <c r="P234" s="2" t="n">
        <v>45987</v>
      </c>
      <c r="Q234" t="inlineStr">
        <is>
          <t>Credit Card</t>
        </is>
      </c>
      <c r="R234" t="inlineStr">
        <is>
          <t>Corporate</t>
        </is>
      </c>
      <c r="S234" t="n">
        <v>3</v>
      </c>
      <c r="T234" t="inlineStr">
        <is>
          <t>NORMAL</t>
        </is>
      </c>
    </row>
    <row r="235">
      <c r="A235" t="inlineStr">
        <is>
          <t>O0234</t>
        </is>
      </c>
      <c r="B235" s="2" t="n">
        <v>45744</v>
      </c>
      <c r="C235" t="inlineStr">
        <is>
          <t>North</t>
        </is>
      </c>
      <c r="D235" t="inlineStr">
        <is>
          <t>Minnesota</t>
        </is>
      </c>
      <c r="E235" t="inlineStr">
        <is>
          <t>John Smith</t>
        </is>
      </c>
      <c r="F235" t="inlineStr">
        <is>
          <t>PRIYA PATEL</t>
        </is>
      </c>
      <c r="G235" t="inlineStr">
        <is>
          <t>Monitor</t>
        </is>
      </c>
      <c r="H235" t="inlineStr">
        <is>
          <t>P109</t>
        </is>
      </c>
      <c r="I235" t="inlineStr">
        <is>
          <t>Monitor 24</t>
        </is>
      </c>
      <c r="J235" t="n">
        <v>5</v>
      </c>
      <c r="K235" s="3" t="n">
        <v>229</v>
      </c>
      <c r="L235" s="4" t="n">
        <v>0.05</v>
      </c>
      <c r="M235" s="3" t="n">
        <v>1087.75</v>
      </c>
      <c r="N235" s="3" t="n">
        <v>1500</v>
      </c>
      <c r="O235" s="2" t="n">
        <v>45747</v>
      </c>
      <c r="P235" s="2" t="n">
        <v>45753</v>
      </c>
      <c r="Q235" t="inlineStr">
        <is>
          <t>Credit Card</t>
        </is>
      </c>
      <c r="R235" t="inlineStr">
        <is>
          <t>New</t>
        </is>
      </c>
      <c r="S235" t="n">
        <v>4</v>
      </c>
      <c r="T235" t="inlineStr">
        <is>
          <t xml:space="preserve"> normal </t>
        </is>
      </c>
    </row>
    <row r="236">
      <c r="A236" t="inlineStr">
        <is>
          <t>O0235</t>
        </is>
      </c>
      <c r="B236" s="2" t="n">
        <v>46017</v>
      </c>
      <c r="C236" t="inlineStr">
        <is>
          <t>North</t>
        </is>
      </c>
      <c r="D236" t="inlineStr">
        <is>
          <t>Minnesota</t>
        </is>
      </c>
      <c r="E236" t="inlineStr">
        <is>
          <t>Sara Khan</t>
        </is>
      </c>
      <c r="F236" t="inlineStr">
        <is>
          <t>rAhUl shAh</t>
        </is>
      </c>
      <c r="G236" t="inlineStr">
        <is>
          <t>Laptop</t>
        </is>
      </c>
      <c r="H236" t="inlineStr">
        <is>
          <t>P103</t>
        </is>
      </c>
      <c r="I236" t="inlineStr">
        <is>
          <t>ThinkPad E14</t>
        </is>
      </c>
      <c r="J236" t="n">
        <v>3</v>
      </c>
      <c r="K236" s="3" t="n">
        <v>899</v>
      </c>
      <c r="L236" s="4" t="n">
        <v>0.05</v>
      </c>
      <c r="M236" s="3" t="n">
        <v>2562.15</v>
      </c>
      <c r="N236" s="3" t="n">
        <v>5000</v>
      </c>
      <c r="O236" s="2" t="n">
        <v>46019</v>
      </c>
      <c r="P236" s="2" t="n">
        <v>46021</v>
      </c>
      <c r="Q236" t="inlineStr">
        <is>
          <t>Bank Transfer</t>
        </is>
      </c>
      <c r="R236" t="inlineStr">
        <is>
          <t>Returning</t>
        </is>
      </c>
      <c r="S236" t="n">
        <v>2</v>
      </c>
      <c r="T236" t="inlineStr">
        <is>
          <t>NORMAL</t>
        </is>
      </c>
    </row>
    <row r="237">
      <c r="A237" t="inlineStr">
        <is>
          <t>O0236</t>
        </is>
      </c>
      <c r="B237" s="2" t="n">
        <v>45850</v>
      </c>
      <c r="C237" t="inlineStr">
        <is>
          <t>North</t>
        </is>
      </c>
      <c r="D237" t="inlineStr">
        <is>
          <t>Minnesota</t>
        </is>
      </c>
      <c r="E237" t="inlineStr">
        <is>
          <t>Sara Khan</t>
        </is>
      </c>
      <c r="F237" t="inlineStr">
        <is>
          <t>John Smith</t>
        </is>
      </c>
      <c r="G237" t="inlineStr">
        <is>
          <t>Audio</t>
        </is>
      </c>
      <c r="H237" t="inlineStr">
        <is>
          <t>P107</t>
        </is>
      </c>
      <c r="I237" t="inlineStr">
        <is>
          <t>AirPods</t>
        </is>
      </c>
      <c r="J237" t="n">
        <v>11</v>
      </c>
      <c r="K237" s="3" t="n">
        <v>179</v>
      </c>
      <c r="L237" s="4" t="n">
        <v>0</v>
      </c>
      <c r="M237" s="3" t="n">
        <v>1969</v>
      </c>
      <c r="N237" s="3" t="n">
        <v>1000</v>
      </c>
      <c r="O237" s="2" t="n">
        <v>45854</v>
      </c>
      <c r="P237" s="2" t="n">
        <v>45855</v>
      </c>
      <c r="Q237" t="inlineStr">
        <is>
          <t>Cash</t>
        </is>
      </c>
      <c r="R237" t="inlineStr">
        <is>
          <t>Corporate</t>
        </is>
      </c>
      <c r="S237" t="n">
        <v>3</v>
      </c>
      <c r="T237" t="inlineStr">
        <is>
          <t xml:space="preserve">  follow-up  </t>
        </is>
      </c>
    </row>
    <row r="238">
      <c r="A238" t="inlineStr">
        <is>
          <t>O0237</t>
        </is>
      </c>
      <c r="B238" s="2" t="n">
        <v>45659</v>
      </c>
      <c r="C238" t="inlineStr">
        <is>
          <t>South</t>
        </is>
      </c>
      <c r="D238" t="inlineStr">
        <is>
          <t>Georgia</t>
        </is>
      </c>
      <c r="E238" t="inlineStr">
        <is>
          <t>John Smith</t>
        </is>
      </c>
      <c r="F238" t="inlineStr">
        <is>
          <t xml:space="preserve"> Rahul Shah </t>
        </is>
      </c>
      <c r="G238" t="inlineStr">
        <is>
          <t>Accessory</t>
        </is>
      </c>
      <c r="H238" t="inlineStr">
        <is>
          <t>P110</t>
        </is>
      </c>
      <c r="I238" t="inlineStr">
        <is>
          <t>Keyboard</t>
        </is>
      </c>
      <c r="J238" t="n">
        <v>8</v>
      </c>
      <c r="K238" s="3" t="n">
        <v>59</v>
      </c>
      <c r="L238" s="4" t="n">
        <v>0.05</v>
      </c>
      <c r="M238" s="3" t="n">
        <v>448.4</v>
      </c>
      <c r="N238" s="3" t="n">
        <v>5000</v>
      </c>
      <c r="O238" s="2" t="n">
        <v>45660</v>
      </c>
      <c r="P238" s="2" t="n">
        <v>45666</v>
      </c>
      <c r="Q238" t="inlineStr">
        <is>
          <t>Bank Transfer</t>
        </is>
      </c>
      <c r="R238" t="inlineStr">
        <is>
          <t>New</t>
        </is>
      </c>
      <c r="S238" t="n">
        <v>4</v>
      </c>
      <c r="T238" t="inlineStr"/>
    </row>
    <row r="239">
      <c r="A239" t="inlineStr">
        <is>
          <t>O0238</t>
        </is>
      </c>
      <c r="B239" s="2" t="n">
        <v>45823</v>
      </c>
      <c r="C239" t="inlineStr">
        <is>
          <t>West</t>
        </is>
      </c>
      <c r="D239" t="inlineStr">
        <is>
          <t>Texas</t>
        </is>
      </c>
      <c r="E239" t="inlineStr">
        <is>
          <t>Neha Joshi</t>
        </is>
      </c>
      <c r="F239" t="inlineStr">
        <is>
          <t>John Smith</t>
        </is>
      </c>
      <c r="G239" t="inlineStr">
        <is>
          <t>Tablet</t>
        </is>
      </c>
      <c r="H239" t="inlineStr">
        <is>
          <t>P105</t>
        </is>
      </c>
      <c r="I239" t="inlineStr">
        <is>
          <t>iPad Air</t>
        </is>
      </c>
      <c r="J239" t="n">
        <v>9</v>
      </c>
      <c r="K239" s="3" t="n">
        <v>599</v>
      </c>
      <c r="L239" s="4" t="n">
        <v>0.15</v>
      </c>
      <c r="M239" s="3" t="n">
        <v>4582.35</v>
      </c>
      <c r="N239" s="3" t="n">
        <v>500</v>
      </c>
      <c r="O239" s="2" t="n">
        <v>45826</v>
      </c>
      <c r="P239" s="2" t="n">
        <v>45829</v>
      </c>
      <c r="Q239" t="inlineStr">
        <is>
          <t>Cash</t>
        </is>
      </c>
      <c r="R239" t="inlineStr">
        <is>
          <t>Corporate</t>
        </is>
      </c>
      <c r="S239" t="n">
        <v>1</v>
      </c>
      <c r="T239" t="inlineStr">
        <is>
          <t xml:space="preserve"> normal </t>
        </is>
      </c>
    </row>
    <row r="240">
      <c r="A240" t="inlineStr">
        <is>
          <t>O0239</t>
        </is>
      </c>
      <c r="B240" s="2" t="n">
        <v>45666</v>
      </c>
      <c r="C240" t="inlineStr">
        <is>
          <t>East</t>
        </is>
      </c>
      <c r="D240" t="inlineStr">
        <is>
          <t>New Jersey</t>
        </is>
      </c>
      <c r="E240" t="inlineStr">
        <is>
          <t>Neha Joshi</t>
        </is>
      </c>
      <c r="F240" t="inlineStr">
        <is>
          <t xml:space="preserve"> Rahul Shah </t>
        </is>
      </c>
      <c r="G240" t="inlineStr">
        <is>
          <t>Audio</t>
        </is>
      </c>
      <c r="H240" t="inlineStr">
        <is>
          <t>P108</t>
        </is>
      </c>
      <c r="I240" t="inlineStr">
        <is>
          <t>Buds Pro</t>
        </is>
      </c>
      <c r="J240" t="n">
        <v>3</v>
      </c>
      <c r="K240" s="3" t="n">
        <v>129</v>
      </c>
      <c r="L240" s="4" t="n">
        <v>0.1</v>
      </c>
      <c r="M240" s="3" t="n">
        <v>348.3</v>
      </c>
      <c r="N240" s="3" t="n">
        <v>1000</v>
      </c>
      <c r="O240" s="2" t="n">
        <v>45667</v>
      </c>
      <c r="P240" s="2" t="n">
        <v>45674</v>
      </c>
      <c r="Q240" t="inlineStr">
        <is>
          <t>UPI</t>
        </is>
      </c>
      <c r="R240" t="inlineStr">
        <is>
          <t>Corporate</t>
        </is>
      </c>
      <c r="S240" t="n">
        <v>2</v>
      </c>
      <c r="T240" t="inlineStr">
        <is>
          <t>refund pending</t>
        </is>
      </c>
    </row>
    <row r="241">
      <c r="A241" t="inlineStr">
        <is>
          <t>O0240</t>
        </is>
      </c>
      <c r="B241" s="2" t="n">
        <v>45705</v>
      </c>
      <c r="C241" t="inlineStr">
        <is>
          <t>North</t>
        </is>
      </c>
      <c r="D241" t="inlineStr">
        <is>
          <t>Illinois</t>
        </is>
      </c>
      <c r="E241" t="inlineStr">
        <is>
          <t>Priya Patel</t>
        </is>
      </c>
      <c r="F241" t="inlineStr">
        <is>
          <t>Sara Khan</t>
        </is>
      </c>
      <c r="G241" t="inlineStr">
        <is>
          <t>Tablet</t>
        </is>
      </c>
      <c r="H241" t="inlineStr">
        <is>
          <t>P105</t>
        </is>
      </c>
      <c r="I241" t="inlineStr">
        <is>
          <t>iPad Air</t>
        </is>
      </c>
      <c r="J241" t="n">
        <v>2</v>
      </c>
      <c r="K241" s="3" t="n">
        <v>599</v>
      </c>
      <c r="L241" s="4" t="n">
        <v>0.05</v>
      </c>
      <c r="M241" s="3" t="n">
        <v>1138.1</v>
      </c>
      <c r="N241" s="3" t="n">
        <v>2500</v>
      </c>
      <c r="O241" s="2" t="n">
        <v>45708</v>
      </c>
      <c r="P241" s="2" t="n">
        <v>45711</v>
      </c>
      <c r="Q241" t="inlineStr">
        <is>
          <t>Credit Card</t>
        </is>
      </c>
      <c r="R241" t="inlineStr">
        <is>
          <t>Returning</t>
        </is>
      </c>
      <c r="S241" t="n">
        <v>3</v>
      </c>
      <c r="T241" t="inlineStr">
        <is>
          <t>refund pending</t>
        </is>
      </c>
    </row>
    <row r="242">
      <c r="A242" t="inlineStr">
        <is>
          <t>O0241</t>
        </is>
      </c>
      <c r="B242" s="2" t="n">
        <v>45704</v>
      </c>
      <c r="C242" t="inlineStr">
        <is>
          <t>West</t>
        </is>
      </c>
      <c r="D242" t="inlineStr">
        <is>
          <t>Texas</t>
        </is>
      </c>
      <c r="E242" t="inlineStr">
        <is>
          <t>John Smith</t>
        </is>
      </c>
      <c r="F242" t="inlineStr">
        <is>
          <t>rAhUl shAh</t>
        </is>
      </c>
      <c r="G242" t="inlineStr">
        <is>
          <t>Accessory</t>
        </is>
      </c>
      <c r="H242" t="inlineStr">
        <is>
          <t>P111</t>
        </is>
      </c>
      <c r="I242" t="inlineStr">
        <is>
          <t>Mouse</t>
        </is>
      </c>
      <c r="J242" t="n">
        <v>4</v>
      </c>
      <c r="K242" s="3" t="n">
        <v>39</v>
      </c>
      <c r="L242" s="4" t="n">
        <v>0.1</v>
      </c>
      <c r="M242" s="3" t="n">
        <v>140.4</v>
      </c>
      <c r="N242" s="3" t="n">
        <v>300</v>
      </c>
      <c r="O242" s="2" t="n">
        <v>45705</v>
      </c>
      <c r="P242" s="2" t="n">
        <v>45706</v>
      </c>
      <c r="Q242" t="inlineStr">
        <is>
          <t>UPI</t>
        </is>
      </c>
      <c r="R242" t="inlineStr">
        <is>
          <t>Corporate</t>
        </is>
      </c>
      <c r="S242" t="n">
        <v>4</v>
      </c>
      <c r="T242" t="inlineStr">
        <is>
          <t xml:space="preserve"> normal </t>
        </is>
      </c>
    </row>
    <row r="243">
      <c r="A243" t="inlineStr">
        <is>
          <t>O0242</t>
        </is>
      </c>
      <c r="B243" s="2" t="n">
        <v>45719</v>
      </c>
      <c r="C243" t="inlineStr">
        <is>
          <t>East</t>
        </is>
      </c>
      <c r="D243" t="inlineStr">
        <is>
          <t>New Jersey</t>
        </is>
      </c>
      <c r="E243" t="inlineStr">
        <is>
          <t>Neha Joshi</t>
        </is>
      </c>
      <c r="F243" t="inlineStr">
        <is>
          <t>rAhUl shAh</t>
        </is>
      </c>
      <c r="G243" t="inlineStr">
        <is>
          <t>Tablet</t>
        </is>
      </c>
      <c r="H243" t="inlineStr">
        <is>
          <t>P106</t>
        </is>
      </c>
      <c r="I243" t="inlineStr">
        <is>
          <t>Galaxy Tab</t>
        </is>
      </c>
      <c r="J243" t="n">
        <v>3</v>
      </c>
      <c r="K243" s="3" t="n">
        <v>499</v>
      </c>
      <c r="L243" s="4" t="n">
        <v>0.1</v>
      </c>
      <c r="M243" s="3" t="n">
        <v>1347.3</v>
      </c>
      <c r="N243" s="3" t="n">
        <v>300</v>
      </c>
      <c r="O243" s="2" t="n">
        <v>45723</v>
      </c>
      <c r="P243" s="2" t="n">
        <v>45729</v>
      </c>
      <c r="Q243" t="inlineStr">
        <is>
          <t>Credit Card</t>
        </is>
      </c>
      <c r="R243" t="inlineStr">
        <is>
          <t>Corporate</t>
        </is>
      </c>
      <c r="S243" t="n">
        <v>1</v>
      </c>
      <c r="T243" t="inlineStr">
        <is>
          <t xml:space="preserve"> normal </t>
        </is>
      </c>
    </row>
    <row r="244">
      <c r="A244" t="inlineStr">
        <is>
          <t>O0243</t>
        </is>
      </c>
      <c r="B244" s="2" t="n">
        <v>45728</v>
      </c>
      <c r="C244" t="inlineStr">
        <is>
          <t>North</t>
        </is>
      </c>
      <c r="D244" t="inlineStr">
        <is>
          <t>Michigan</t>
        </is>
      </c>
      <c r="E244" t="inlineStr">
        <is>
          <t>Priya Patel</t>
        </is>
      </c>
      <c r="F244" t="inlineStr">
        <is>
          <t>Sara Khan</t>
        </is>
      </c>
      <c r="G244" t="inlineStr">
        <is>
          <t>Tablet</t>
        </is>
      </c>
      <c r="H244" t="inlineStr">
        <is>
          <t>P105</t>
        </is>
      </c>
      <c r="I244" t="inlineStr">
        <is>
          <t>iPad Air</t>
        </is>
      </c>
      <c r="J244" t="n">
        <v>14</v>
      </c>
      <c r="K244" s="3" t="n">
        <v>599</v>
      </c>
      <c r="L244" s="4" t="n">
        <v>0.02</v>
      </c>
      <c r="M244" s="3" t="n">
        <v>8218.280000000001</v>
      </c>
      <c r="N244" s="3" t="n">
        <v>2500</v>
      </c>
      <c r="O244" s="2" t="n">
        <v>45732</v>
      </c>
      <c r="P244" s="2" t="n">
        <v>45739</v>
      </c>
      <c r="Q244" t="inlineStr">
        <is>
          <t>Credit Card</t>
        </is>
      </c>
      <c r="R244" t="inlineStr">
        <is>
          <t>Corporate</t>
        </is>
      </c>
      <c r="S244" t="n">
        <v>5</v>
      </c>
      <c r="T244" t="inlineStr">
        <is>
          <t xml:space="preserve"> normal </t>
        </is>
      </c>
    </row>
    <row r="245">
      <c r="A245" t="inlineStr">
        <is>
          <t>O0244</t>
        </is>
      </c>
      <c r="B245" s="2" t="n">
        <v>45767</v>
      </c>
      <c r="C245" t="inlineStr">
        <is>
          <t>West</t>
        </is>
      </c>
      <c r="D245" t="inlineStr">
        <is>
          <t>Texas</t>
        </is>
      </c>
      <c r="E245" t="inlineStr">
        <is>
          <t>Amit Shah</t>
        </is>
      </c>
      <c r="F245" t="inlineStr">
        <is>
          <t>rAhUl shAh</t>
        </is>
      </c>
      <c r="G245" t="inlineStr">
        <is>
          <t>Tablet</t>
        </is>
      </c>
      <c r="H245" t="inlineStr">
        <is>
          <t>P106</t>
        </is>
      </c>
      <c r="I245" t="inlineStr">
        <is>
          <t>Galaxy Tab</t>
        </is>
      </c>
      <c r="J245" t="n">
        <v>10</v>
      </c>
      <c r="K245" s="3" t="n">
        <v>499</v>
      </c>
      <c r="L245" s="4" t="n">
        <v>0.1</v>
      </c>
      <c r="M245" s="3" t="n">
        <v>4491</v>
      </c>
      <c r="N245" s="3" t="n">
        <v>5000</v>
      </c>
      <c r="O245" s="2" t="n">
        <v>45769</v>
      </c>
      <c r="P245" s="2" t="n">
        <v>45773</v>
      </c>
      <c r="Q245" t="inlineStr">
        <is>
          <t>Credit Card</t>
        </is>
      </c>
      <c r="R245" t="inlineStr">
        <is>
          <t>New</t>
        </is>
      </c>
      <c r="S245" t="n">
        <v>1</v>
      </c>
      <c r="T245" t="inlineStr">
        <is>
          <t>NORMAL</t>
        </is>
      </c>
    </row>
    <row r="246">
      <c r="A246" t="inlineStr">
        <is>
          <t>O0245</t>
        </is>
      </c>
      <c r="B246" s="2" t="n">
        <v>45819</v>
      </c>
      <c r="C246" t="inlineStr">
        <is>
          <t>South</t>
        </is>
      </c>
      <c r="D246" t="inlineStr">
        <is>
          <t>Georgia</t>
        </is>
      </c>
      <c r="E246" t="inlineStr">
        <is>
          <t>John Smith</t>
        </is>
      </c>
      <c r="F246" t="inlineStr">
        <is>
          <t>John Smith</t>
        </is>
      </c>
      <c r="G246" t="inlineStr">
        <is>
          <t>Audio</t>
        </is>
      </c>
      <c r="H246" t="inlineStr">
        <is>
          <t>P107</t>
        </is>
      </c>
      <c r="I246" t="inlineStr">
        <is>
          <t>AirPods</t>
        </is>
      </c>
      <c r="J246" t="n">
        <v>5</v>
      </c>
      <c r="K246" s="3" t="n">
        <v>179</v>
      </c>
      <c r="L246" s="4" t="n">
        <v>0</v>
      </c>
      <c r="M246" s="3" t="n">
        <v>895</v>
      </c>
      <c r="N246" s="3" t="n">
        <v>500</v>
      </c>
      <c r="O246" s="2" t="n">
        <v>45821</v>
      </c>
      <c r="P246" s="2" t="n">
        <v>45823</v>
      </c>
      <c r="Q246" t="inlineStr">
        <is>
          <t>Cash</t>
        </is>
      </c>
      <c r="R246" t="inlineStr">
        <is>
          <t>Corporate</t>
        </is>
      </c>
      <c r="S246" t="n">
        <v>1</v>
      </c>
      <c r="T246" t="inlineStr"/>
    </row>
    <row r="247">
      <c r="A247" t="inlineStr">
        <is>
          <t>O0246</t>
        </is>
      </c>
      <c r="B247" s="2" t="n">
        <v>45968</v>
      </c>
      <c r="C247" t="inlineStr">
        <is>
          <t>North</t>
        </is>
      </c>
      <c r="D247" t="inlineStr">
        <is>
          <t>Illinois</t>
        </is>
      </c>
      <c r="E247" t="inlineStr">
        <is>
          <t>Amit Shah</t>
        </is>
      </c>
      <c r="F247" t="inlineStr">
        <is>
          <t>Sara Khan</t>
        </is>
      </c>
      <c r="G247" t="inlineStr">
        <is>
          <t>Monitor</t>
        </is>
      </c>
      <c r="H247" t="inlineStr">
        <is>
          <t>P109</t>
        </is>
      </c>
      <c r="I247" t="inlineStr">
        <is>
          <t>Monitor 24</t>
        </is>
      </c>
      <c r="J247" t="n">
        <v>12</v>
      </c>
      <c r="K247" s="3" t="n">
        <v>229</v>
      </c>
      <c r="L247" s="4" t="n">
        <v>0.1</v>
      </c>
      <c r="M247" s="3" t="n">
        <v>2473.2</v>
      </c>
      <c r="N247" s="3" t="n">
        <v>750</v>
      </c>
      <c r="O247" s="2" t="n">
        <v>45973</v>
      </c>
      <c r="P247" s="2" t="n">
        <v>45975</v>
      </c>
      <c r="Q247" t="inlineStr">
        <is>
          <t>UPI</t>
        </is>
      </c>
      <c r="R247" t="inlineStr">
        <is>
          <t>Returning</t>
        </is>
      </c>
      <c r="S247" t="n">
        <v>4</v>
      </c>
      <c r="T247" t="inlineStr">
        <is>
          <t xml:space="preserve"> normal </t>
        </is>
      </c>
    </row>
    <row r="248">
      <c r="A248" t="inlineStr">
        <is>
          <t>O0247</t>
        </is>
      </c>
      <c r="B248" s="2" t="n">
        <v>45962</v>
      </c>
      <c r="C248" t="inlineStr">
        <is>
          <t>West</t>
        </is>
      </c>
      <c r="D248" t="inlineStr">
        <is>
          <t>Texas</t>
        </is>
      </c>
      <c r="E248" t="inlineStr">
        <is>
          <t>Priya Patel</t>
        </is>
      </c>
      <c r="F248" t="inlineStr">
        <is>
          <t>PRIYA PATEL</t>
        </is>
      </c>
      <c r="G248" t="inlineStr">
        <is>
          <t>Accessory</t>
        </is>
      </c>
      <c r="H248" t="inlineStr">
        <is>
          <t>P111</t>
        </is>
      </c>
      <c r="I248" t="inlineStr">
        <is>
          <t>Mouse</t>
        </is>
      </c>
      <c r="J248" t="n">
        <v>15</v>
      </c>
      <c r="K248" s="3" t="n">
        <v>39</v>
      </c>
      <c r="L248" s="4" t="n">
        <v>0</v>
      </c>
      <c r="M248" s="3" t="n">
        <v>585</v>
      </c>
      <c r="N248" s="3" t="n">
        <v>750</v>
      </c>
      <c r="O248" s="2" t="n">
        <v>45963</v>
      </c>
      <c r="P248" s="2" t="n">
        <v>45968</v>
      </c>
      <c r="Q248" t="inlineStr">
        <is>
          <t>Bank Transfer</t>
        </is>
      </c>
      <c r="R248" t="inlineStr">
        <is>
          <t>Corporate</t>
        </is>
      </c>
      <c r="S248" t="n">
        <v>4</v>
      </c>
      <c r="T248" t="inlineStr">
        <is>
          <t>ok</t>
        </is>
      </c>
    </row>
    <row r="249">
      <c r="A249" t="inlineStr">
        <is>
          <t>O0248</t>
        </is>
      </c>
      <c r="B249" s="2" t="n">
        <v>45666</v>
      </c>
      <c r="C249" t="inlineStr">
        <is>
          <t>West</t>
        </is>
      </c>
      <c r="D249" t="inlineStr">
        <is>
          <t>Texas</t>
        </is>
      </c>
      <c r="E249" t="inlineStr">
        <is>
          <t>Amit Shah</t>
        </is>
      </c>
      <c r="F249" t="inlineStr">
        <is>
          <t xml:space="preserve"> Rahul Shah </t>
        </is>
      </c>
      <c r="G249" t="inlineStr">
        <is>
          <t>Mobile</t>
        </is>
      </c>
      <c r="H249" t="inlineStr">
        <is>
          <t>P102</t>
        </is>
      </c>
      <c r="I249" t="inlineStr">
        <is>
          <t>Galaxy S24</t>
        </is>
      </c>
      <c r="J249" t="n">
        <v>1</v>
      </c>
      <c r="K249" s="3" t="n">
        <v>799</v>
      </c>
      <c r="L249" s="4" t="n">
        <v>0.05</v>
      </c>
      <c r="M249" s="3" t="n">
        <v>759.05</v>
      </c>
      <c r="N249" s="3" t="n">
        <v>500</v>
      </c>
      <c r="O249" s="2" t="n">
        <v>45671</v>
      </c>
      <c r="P249" s="2" t="n">
        <v>45672</v>
      </c>
      <c r="Q249" t="inlineStr">
        <is>
          <t>Bank Transfer</t>
        </is>
      </c>
      <c r="R249" t="inlineStr">
        <is>
          <t>Corporate</t>
        </is>
      </c>
      <c r="S249" t="n">
        <v>3</v>
      </c>
      <c r="T249" t="inlineStr">
        <is>
          <t>refund pending</t>
        </is>
      </c>
    </row>
    <row r="250">
      <c r="A250" t="inlineStr">
        <is>
          <t>O0249</t>
        </is>
      </c>
      <c r="B250" s="2" t="n">
        <v>45863</v>
      </c>
      <c r="C250" t="inlineStr">
        <is>
          <t>South</t>
        </is>
      </c>
      <c r="D250" t="inlineStr">
        <is>
          <t>Georgia</t>
        </is>
      </c>
      <c r="E250" t="inlineStr">
        <is>
          <t>Rahul Mehta</t>
        </is>
      </c>
      <c r="F250" t="inlineStr">
        <is>
          <t>rAhUl shAh</t>
        </is>
      </c>
      <c r="G250" t="inlineStr">
        <is>
          <t>Accessory</t>
        </is>
      </c>
      <c r="H250" t="inlineStr">
        <is>
          <t>P112</t>
        </is>
      </c>
      <c r="I250" t="inlineStr">
        <is>
          <t>PowerBank</t>
        </is>
      </c>
      <c r="J250" t="n">
        <v>9</v>
      </c>
      <c r="K250" s="3" t="n">
        <v>49</v>
      </c>
      <c r="L250" s="4" t="n">
        <v>0.15</v>
      </c>
      <c r="M250" s="3" t="n">
        <v>374.85</v>
      </c>
      <c r="N250" s="3" t="n">
        <v>1500</v>
      </c>
      <c r="O250" s="2" t="n">
        <v>45864</v>
      </c>
      <c r="P250" s="2" t="n">
        <v>45870</v>
      </c>
      <c r="Q250" t="inlineStr">
        <is>
          <t>Credit Card</t>
        </is>
      </c>
      <c r="R250" t="inlineStr">
        <is>
          <t>Returning</t>
        </is>
      </c>
      <c r="S250" t="n">
        <v>1</v>
      </c>
      <c r="T250" t="inlineStr">
        <is>
          <t>NORMAL</t>
        </is>
      </c>
    </row>
    <row r="251">
      <c r="A251" t="inlineStr">
        <is>
          <t>O0250</t>
        </is>
      </c>
      <c r="B251" s="2" t="n">
        <v>45825</v>
      </c>
      <c r="C251" t="inlineStr">
        <is>
          <t>West</t>
        </is>
      </c>
      <c r="D251" t="inlineStr">
        <is>
          <t>California</t>
        </is>
      </c>
      <c r="E251" t="inlineStr">
        <is>
          <t>Neha Joshi</t>
        </is>
      </c>
      <c r="F251" t="inlineStr">
        <is>
          <t>Sara Khan</t>
        </is>
      </c>
      <c r="G251" t="inlineStr">
        <is>
          <t>Monitor</t>
        </is>
      </c>
      <c r="H251" t="inlineStr">
        <is>
          <t>P109</t>
        </is>
      </c>
      <c r="I251" t="inlineStr">
        <is>
          <t>Monitor 24</t>
        </is>
      </c>
      <c r="J251" t="n">
        <v>11</v>
      </c>
      <c r="K251" s="3" t="n">
        <v>229</v>
      </c>
      <c r="L251" s="4" t="n">
        <v>0</v>
      </c>
      <c r="M251" s="3" t="n">
        <v>2519</v>
      </c>
      <c r="N251" s="3" t="n">
        <v>750</v>
      </c>
      <c r="O251" s="2" t="n">
        <v>45829</v>
      </c>
      <c r="P251" s="2" t="n">
        <v>45834</v>
      </c>
      <c r="Q251" t="inlineStr">
        <is>
          <t>UPI</t>
        </is>
      </c>
      <c r="R251" t="inlineStr">
        <is>
          <t>New</t>
        </is>
      </c>
      <c r="S251" t="n">
        <v>2</v>
      </c>
      <c r="T251" t="inlineStr">
        <is>
          <t xml:space="preserve"> normal </t>
        </is>
      </c>
    </row>
    <row r="252">
      <c r="A252" t="inlineStr">
        <is>
          <t>O0251</t>
        </is>
      </c>
      <c r="B252" s="2" t="n">
        <v>45971</v>
      </c>
      <c r="C252" t="inlineStr">
        <is>
          <t>South</t>
        </is>
      </c>
      <c r="D252" t="inlineStr">
        <is>
          <t>Florida</t>
        </is>
      </c>
      <c r="E252" t="inlineStr">
        <is>
          <t>Sara Khan</t>
        </is>
      </c>
      <c r="F252" t="inlineStr">
        <is>
          <t xml:space="preserve"> Rahul Shah </t>
        </is>
      </c>
      <c r="G252" t="inlineStr">
        <is>
          <t>Audio</t>
        </is>
      </c>
      <c r="H252" t="inlineStr">
        <is>
          <t>P108</t>
        </is>
      </c>
      <c r="I252" t="inlineStr">
        <is>
          <t>Buds Pro</t>
        </is>
      </c>
      <c r="J252" t="n">
        <v>5</v>
      </c>
      <c r="K252" s="3" t="n">
        <v>129</v>
      </c>
      <c r="L252" s="4" t="n">
        <v>0.02</v>
      </c>
      <c r="M252" s="3" t="n">
        <v>632.1</v>
      </c>
      <c r="N252" s="3" t="n">
        <v>300</v>
      </c>
      <c r="O252" s="2" t="n">
        <v>45976</v>
      </c>
      <c r="P252" s="2" t="n">
        <v>45977</v>
      </c>
      <c r="Q252" t="inlineStr">
        <is>
          <t>UPI</t>
        </is>
      </c>
      <c r="R252" t="inlineStr">
        <is>
          <t>Corporate</t>
        </is>
      </c>
      <c r="S252" t="n">
        <v>1</v>
      </c>
      <c r="T252" t="inlineStr">
        <is>
          <t>urgent</t>
        </is>
      </c>
    </row>
    <row r="253">
      <c r="A253" t="inlineStr">
        <is>
          <t>O0252</t>
        </is>
      </c>
      <c r="B253" s="2" t="n">
        <v>45922</v>
      </c>
      <c r="C253" t="inlineStr">
        <is>
          <t>South</t>
        </is>
      </c>
      <c r="D253" t="inlineStr">
        <is>
          <t>Georgia</t>
        </is>
      </c>
      <c r="E253" t="inlineStr">
        <is>
          <t>Sara Khan</t>
        </is>
      </c>
      <c r="F253" t="inlineStr">
        <is>
          <t>PRIYA PATEL</t>
        </is>
      </c>
      <c r="G253" t="inlineStr">
        <is>
          <t>Monitor</t>
        </is>
      </c>
      <c r="H253" t="inlineStr">
        <is>
          <t>P109</t>
        </is>
      </c>
      <c r="I253" t="inlineStr">
        <is>
          <t>Monitor 24</t>
        </is>
      </c>
      <c r="J253" t="n">
        <v>6</v>
      </c>
      <c r="K253" s="3" t="n">
        <v>229</v>
      </c>
      <c r="L253" s="4" t="n">
        <v>0.02</v>
      </c>
      <c r="M253" s="3" t="n">
        <v>1346.52</v>
      </c>
      <c r="N253" s="3" t="n">
        <v>2500</v>
      </c>
      <c r="O253" s="2" t="n">
        <v>45925</v>
      </c>
      <c r="P253" s="2" t="n">
        <v>45927</v>
      </c>
      <c r="Q253" t="inlineStr">
        <is>
          <t>Credit Card</t>
        </is>
      </c>
      <c r="R253" t="inlineStr">
        <is>
          <t>New</t>
        </is>
      </c>
      <c r="S253" t="n">
        <v>3</v>
      </c>
      <c r="T253" t="inlineStr"/>
    </row>
    <row r="254">
      <c r="A254" t="inlineStr">
        <is>
          <t>O0253</t>
        </is>
      </c>
      <c r="B254" s="2" t="n">
        <v>45690</v>
      </c>
      <c r="C254" t="inlineStr">
        <is>
          <t>South</t>
        </is>
      </c>
      <c r="D254" t="inlineStr">
        <is>
          <t>Georgia</t>
        </is>
      </c>
      <c r="E254" t="inlineStr">
        <is>
          <t>John Smith</t>
        </is>
      </c>
      <c r="F254" t="inlineStr">
        <is>
          <t xml:space="preserve"> Neha  Joshi </t>
        </is>
      </c>
      <c r="G254" t="inlineStr">
        <is>
          <t>Monitor</t>
        </is>
      </c>
      <c r="H254" t="inlineStr">
        <is>
          <t>P109</t>
        </is>
      </c>
      <c r="I254" t="inlineStr">
        <is>
          <t>Monitor 24</t>
        </is>
      </c>
      <c r="J254" t="n">
        <v>10</v>
      </c>
      <c r="K254" s="3" t="n">
        <v>229</v>
      </c>
      <c r="L254" s="4" t="n">
        <v>0</v>
      </c>
      <c r="M254" s="3" t="n">
        <v>2290</v>
      </c>
      <c r="N254" s="3" t="n">
        <v>1000</v>
      </c>
      <c r="O254" s="2" t="n">
        <v>45693</v>
      </c>
      <c r="P254" s="2" t="n">
        <v>45699</v>
      </c>
      <c r="Q254" t="inlineStr">
        <is>
          <t>Cash</t>
        </is>
      </c>
      <c r="R254" t="inlineStr">
        <is>
          <t>New</t>
        </is>
      </c>
      <c r="S254" t="n">
        <v>4</v>
      </c>
      <c r="T254" t="inlineStr"/>
    </row>
    <row r="255">
      <c r="A255" t="inlineStr">
        <is>
          <t>O0254</t>
        </is>
      </c>
      <c r="B255" s="2" t="n">
        <v>45788</v>
      </c>
      <c r="C255" t="inlineStr">
        <is>
          <t>West</t>
        </is>
      </c>
      <c r="D255" t="inlineStr">
        <is>
          <t>Texas</t>
        </is>
      </c>
      <c r="E255" t="inlineStr">
        <is>
          <t>John Smith</t>
        </is>
      </c>
      <c r="F255" t="inlineStr">
        <is>
          <t>Sara Khan</t>
        </is>
      </c>
      <c r="G255" t="inlineStr">
        <is>
          <t>Laptop</t>
        </is>
      </c>
      <c r="H255" t="inlineStr">
        <is>
          <t>P103</t>
        </is>
      </c>
      <c r="I255" t="inlineStr">
        <is>
          <t>ThinkPad E14</t>
        </is>
      </c>
      <c r="J255" t="n">
        <v>11</v>
      </c>
      <c r="K255" s="3" t="n">
        <v>899</v>
      </c>
      <c r="L255" s="4" t="n">
        <v>0</v>
      </c>
      <c r="M255" s="3" t="n">
        <v>9889</v>
      </c>
      <c r="N255" s="3" t="n">
        <v>500</v>
      </c>
      <c r="O255" s="2" t="n">
        <v>45789</v>
      </c>
      <c r="P255" s="2" t="n">
        <v>45794</v>
      </c>
      <c r="Q255" t="inlineStr">
        <is>
          <t>Credit Card</t>
        </is>
      </c>
      <c r="R255" t="inlineStr">
        <is>
          <t>New</t>
        </is>
      </c>
      <c r="S255" t="n">
        <v>1</v>
      </c>
      <c r="T255" t="inlineStr">
        <is>
          <t>urgent</t>
        </is>
      </c>
    </row>
    <row r="256">
      <c r="A256" t="inlineStr">
        <is>
          <t>O0255</t>
        </is>
      </c>
      <c r="B256" s="2" t="n">
        <v>45854</v>
      </c>
      <c r="C256" t="inlineStr">
        <is>
          <t>East</t>
        </is>
      </c>
      <c r="D256" t="inlineStr">
        <is>
          <t>Massachusetts</t>
        </is>
      </c>
      <c r="E256" t="inlineStr">
        <is>
          <t>Sara Khan</t>
        </is>
      </c>
      <c r="F256" t="inlineStr">
        <is>
          <t>Sara Khan</t>
        </is>
      </c>
      <c r="G256" t="inlineStr">
        <is>
          <t>Tablet</t>
        </is>
      </c>
      <c r="H256" t="inlineStr">
        <is>
          <t>P106</t>
        </is>
      </c>
      <c r="I256" t="inlineStr">
        <is>
          <t>Galaxy Tab</t>
        </is>
      </c>
      <c r="J256" t="n">
        <v>15</v>
      </c>
      <c r="K256" s="3" t="n">
        <v>499</v>
      </c>
      <c r="L256" s="4" t="n">
        <v>0</v>
      </c>
      <c r="M256" s="3" t="n">
        <v>7485</v>
      </c>
      <c r="N256" s="3" t="n">
        <v>1500</v>
      </c>
      <c r="O256" s="2" t="n">
        <v>45856</v>
      </c>
      <c r="P256" s="2" t="n">
        <v>45858</v>
      </c>
      <c r="Q256" t="inlineStr">
        <is>
          <t>Bank Transfer</t>
        </is>
      </c>
      <c r="R256" t="inlineStr">
        <is>
          <t>New</t>
        </is>
      </c>
      <c r="S256" t="n">
        <v>3</v>
      </c>
      <c r="T256" t="inlineStr">
        <is>
          <t>urgent</t>
        </is>
      </c>
    </row>
    <row r="257">
      <c r="A257" t="inlineStr">
        <is>
          <t>O0256</t>
        </is>
      </c>
      <c r="B257" s="2" t="n">
        <v>45796</v>
      </c>
      <c r="C257" t="inlineStr">
        <is>
          <t>South</t>
        </is>
      </c>
      <c r="D257" t="inlineStr">
        <is>
          <t>Texas</t>
        </is>
      </c>
      <c r="E257" t="inlineStr">
        <is>
          <t>Amit Shah</t>
        </is>
      </c>
      <c r="F257" t="inlineStr">
        <is>
          <t>Sara Khan</t>
        </is>
      </c>
      <c r="G257" t="inlineStr">
        <is>
          <t>Tablet</t>
        </is>
      </c>
      <c r="H257" t="inlineStr">
        <is>
          <t>P106</t>
        </is>
      </c>
      <c r="I257" t="inlineStr">
        <is>
          <t>Galaxy Tab</t>
        </is>
      </c>
      <c r="J257" t="n">
        <v>6</v>
      </c>
      <c r="K257" s="3" t="n">
        <v>499</v>
      </c>
      <c r="L257" s="4" t="n">
        <v>0</v>
      </c>
      <c r="M257" s="3" t="n">
        <v>2994</v>
      </c>
      <c r="N257" s="3" t="n">
        <v>1500</v>
      </c>
      <c r="O257" s="2" t="n">
        <v>45797</v>
      </c>
      <c r="P257" s="2" t="n">
        <v>45802</v>
      </c>
      <c r="Q257" t="inlineStr">
        <is>
          <t>UPI</t>
        </is>
      </c>
      <c r="R257" t="inlineStr">
        <is>
          <t>New</t>
        </is>
      </c>
      <c r="S257" t="n">
        <v>5</v>
      </c>
      <c r="T257" t="inlineStr">
        <is>
          <t xml:space="preserve"> normal </t>
        </is>
      </c>
    </row>
    <row r="258">
      <c r="A258" t="inlineStr">
        <is>
          <t>O0257</t>
        </is>
      </c>
      <c r="B258" s="2" t="n">
        <v>45802</v>
      </c>
      <c r="C258" t="inlineStr">
        <is>
          <t>South</t>
        </is>
      </c>
      <c r="D258" t="inlineStr">
        <is>
          <t>Florida</t>
        </is>
      </c>
      <c r="E258" t="inlineStr">
        <is>
          <t>Rahul Mehta</t>
        </is>
      </c>
      <c r="F258" t="inlineStr">
        <is>
          <t xml:space="preserve"> Rahul Shah </t>
        </is>
      </c>
      <c r="G258" t="inlineStr">
        <is>
          <t>Audio</t>
        </is>
      </c>
      <c r="H258" t="inlineStr">
        <is>
          <t>P108</t>
        </is>
      </c>
      <c r="I258" t="inlineStr">
        <is>
          <t>Buds Pro</t>
        </is>
      </c>
      <c r="J258" t="n">
        <v>2</v>
      </c>
      <c r="K258" s="3" t="n">
        <v>129</v>
      </c>
      <c r="L258" s="4" t="n">
        <v>0.15</v>
      </c>
      <c r="M258" s="3" t="n">
        <v>219.3</v>
      </c>
      <c r="N258" s="3" t="n">
        <v>1000</v>
      </c>
      <c r="O258" s="2" t="n">
        <v>45805</v>
      </c>
      <c r="P258" s="2" t="n">
        <v>45808</v>
      </c>
      <c r="Q258" t="inlineStr">
        <is>
          <t>UPI</t>
        </is>
      </c>
      <c r="R258" t="inlineStr">
        <is>
          <t>Returning</t>
        </is>
      </c>
      <c r="S258" t="n">
        <v>5</v>
      </c>
      <c r="T258" t="inlineStr"/>
    </row>
    <row r="259">
      <c r="A259" t="inlineStr">
        <is>
          <t>O0258</t>
        </is>
      </c>
      <c r="B259" s="2" t="n">
        <v>45782</v>
      </c>
      <c r="C259" t="inlineStr">
        <is>
          <t>North</t>
        </is>
      </c>
      <c r="D259" t="inlineStr">
        <is>
          <t>Minnesota</t>
        </is>
      </c>
      <c r="E259" t="inlineStr">
        <is>
          <t>Sara Khan</t>
        </is>
      </c>
      <c r="F259" t="inlineStr">
        <is>
          <t>rAhUl shAh</t>
        </is>
      </c>
      <c r="G259" t="inlineStr">
        <is>
          <t>Accessory</t>
        </is>
      </c>
      <c r="H259" t="inlineStr">
        <is>
          <t>P110</t>
        </is>
      </c>
      <c r="I259" t="inlineStr">
        <is>
          <t>Keyboard</t>
        </is>
      </c>
      <c r="J259" t="n">
        <v>10</v>
      </c>
      <c r="K259" s="3" t="n">
        <v>59</v>
      </c>
      <c r="L259" s="4" t="n">
        <v>0.1</v>
      </c>
      <c r="M259" s="3" t="n">
        <v>531</v>
      </c>
      <c r="N259" s="3" t="n">
        <v>5000</v>
      </c>
      <c r="O259" s="2" t="n">
        <v>45786</v>
      </c>
      <c r="P259" s="2" t="n">
        <v>45789</v>
      </c>
      <c r="Q259" t="inlineStr">
        <is>
          <t>UPI</t>
        </is>
      </c>
      <c r="R259" t="inlineStr">
        <is>
          <t>New</t>
        </is>
      </c>
      <c r="S259" t="n">
        <v>1</v>
      </c>
      <c r="T259" t="inlineStr">
        <is>
          <t xml:space="preserve">  follow-up  </t>
        </is>
      </c>
    </row>
    <row r="260">
      <c r="A260" t="inlineStr">
        <is>
          <t>O0259</t>
        </is>
      </c>
      <c r="B260" s="2" t="n">
        <v>45835</v>
      </c>
      <c r="C260" t="inlineStr">
        <is>
          <t>East</t>
        </is>
      </c>
      <c r="D260" t="inlineStr">
        <is>
          <t>New York</t>
        </is>
      </c>
      <c r="E260" t="inlineStr">
        <is>
          <t>Sara Khan</t>
        </is>
      </c>
      <c r="F260" t="inlineStr">
        <is>
          <t xml:space="preserve">Sara Khan </t>
        </is>
      </c>
      <c r="G260" t="inlineStr">
        <is>
          <t>Monitor</t>
        </is>
      </c>
      <c r="H260" t="inlineStr">
        <is>
          <t>P109</t>
        </is>
      </c>
      <c r="I260" t="inlineStr">
        <is>
          <t>Monitor 24</t>
        </is>
      </c>
      <c r="J260" t="n">
        <v>1</v>
      </c>
      <c r="K260" s="3" t="n">
        <v>229</v>
      </c>
      <c r="L260" s="4" t="n">
        <v>0.1</v>
      </c>
      <c r="M260" s="3" t="n">
        <v>206.1</v>
      </c>
      <c r="N260" s="3" t="n">
        <v>5000</v>
      </c>
      <c r="O260" s="2" t="n">
        <v>45836</v>
      </c>
      <c r="P260" s="2" t="n">
        <v>45839</v>
      </c>
      <c r="Q260" t="inlineStr">
        <is>
          <t>Cash</t>
        </is>
      </c>
      <c r="R260" t="inlineStr">
        <is>
          <t>New</t>
        </is>
      </c>
      <c r="S260" t="n">
        <v>2</v>
      </c>
      <c r="T260" t="inlineStr">
        <is>
          <t>NORMAL</t>
        </is>
      </c>
    </row>
    <row r="261">
      <c r="A261" t="inlineStr">
        <is>
          <t>O0260</t>
        </is>
      </c>
      <c r="B261" s="2" t="n">
        <v>45688</v>
      </c>
      <c r="C261" t="inlineStr">
        <is>
          <t>West</t>
        </is>
      </c>
      <c r="D261" t="inlineStr">
        <is>
          <t>Texas</t>
        </is>
      </c>
      <c r="E261" t="inlineStr">
        <is>
          <t>John Smith</t>
        </is>
      </c>
      <c r="F261" t="inlineStr">
        <is>
          <t>rAhUl shAh</t>
        </is>
      </c>
      <c r="G261" t="inlineStr">
        <is>
          <t>Audio</t>
        </is>
      </c>
      <c r="H261" t="inlineStr">
        <is>
          <t>P108</t>
        </is>
      </c>
      <c r="I261" t="inlineStr">
        <is>
          <t>Buds Pro</t>
        </is>
      </c>
      <c r="J261" t="n">
        <v>5</v>
      </c>
      <c r="K261" s="3" t="n">
        <v>129</v>
      </c>
      <c r="L261" s="4" t="n">
        <v>0</v>
      </c>
      <c r="M261" s="3" t="n">
        <v>645</v>
      </c>
      <c r="N261" s="3" t="n">
        <v>300</v>
      </c>
      <c r="O261" s="2" t="n">
        <v>45690</v>
      </c>
      <c r="P261" s="2" t="n">
        <v>45696</v>
      </c>
      <c r="Q261" t="inlineStr">
        <is>
          <t>Bank Transfer</t>
        </is>
      </c>
      <c r="R261" t="inlineStr">
        <is>
          <t>Corporate</t>
        </is>
      </c>
      <c r="S261" t="n">
        <v>3</v>
      </c>
      <c r="T261" t="inlineStr">
        <is>
          <t xml:space="preserve">  follow-up  </t>
        </is>
      </c>
    </row>
    <row r="262">
      <c r="A262" t="inlineStr">
        <is>
          <t>O0261</t>
        </is>
      </c>
      <c r="B262" s="2" t="n">
        <v>45916</v>
      </c>
      <c r="C262" t="inlineStr">
        <is>
          <t>East</t>
        </is>
      </c>
      <c r="D262" t="inlineStr">
        <is>
          <t>New Jersey</t>
        </is>
      </c>
      <c r="E262" t="inlineStr">
        <is>
          <t>John Smith</t>
        </is>
      </c>
      <c r="F262" t="inlineStr">
        <is>
          <t>John Smith</t>
        </is>
      </c>
      <c r="G262" t="inlineStr">
        <is>
          <t>Mobile</t>
        </is>
      </c>
      <c r="H262" t="inlineStr">
        <is>
          <t>P102</t>
        </is>
      </c>
      <c r="I262" t="inlineStr">
        <is>
          <t>Galaxy S24</t>
        </is>
      </c>
      <c r="J262" t="n">
        <v>14</v>
      </c>
      <c r="K262" s="3" t="n">
        <v>799</v>
      </c>
      <c r="L262" s="4" t="n">
        <v>0.1</v>
      </c>
      <c r="M262" s="3" t="n">
        <v>10067.4</v>
      </c>
      <c r="N262" s="3" t="n">
        <v>300</v>
      </c>
      <c r="O262" s="2" t="n">
        <v>45918</v>
      </c>
      <c r="P262" s="2" t="n">
        <v>45924</v>
      </c>
      <c r="Q262" t="inlineStr">
        <is>
          <t>Credit Card</t>
        </is>
      </c>
      <c r="R262" t="inlineStr">
        <is>
          <t>Returning</t>
        </is>
      </c>
      <c r="S262" t="n">
        <v>2</v>
      </c>
      <c r="T262" t="inlineStr">
        <is>
          <t>urgent</t>
        </is>
      </c>
    </row>
    <row r="263">
      <c r="A263" t="inlineStr">
        <is>
          <t>O0262</t>
        </is>
      </c>
      <c r="B263" s="2" t="n">
        <v>45859</v>
      </c>
      <c r="C263" t="inlineStr">
        <is>
          <t>North</t>
        </is>
      </c>
      <c r="D263" t="inlineStr">
        <is>
          <t>Michigan</t>
        </is>
      </c>
      <c r="E263" t="inlineStr">
        <is>
          <t>Priya Patel</t>
        </is>
      </c>
      <c r="F263" t="inlineStr">
        <is>
          <t xml:space="preserve"> Rahul Shah </t>
        </is>
      </c>
      <c r="G263" t="inlineStr">
        <is>
          <t>Tablet</t>
        </is>
      </c>
      <c r="H263" t="inlineStr">
        <is>
          <t>P106</t>
        </is>
      </c>
      <c r="I263" t="inlineStr">
        <is>
          <t>Galaxy Tab</t>
        </is>
      </c>
      <c r="J263" t="n">
        <v>8</v>
      </c>
      <c r="K263" s="3" t="n">
        <v>499</v>
      </c>
      <c r="L263" s="4" t="n">
        <v>0.05</v>
      </c>
      <c r="M263" s="3" t="n">
        <v>3792.4</v>
      </c>
      <c r="N263" s="3" t="n">
        <v>500</v>
      </c>
      <c r="O263" s="2" t="n">
        <v>45862</v>
      </c>
      <c r="P263" s="2" t="n">
        <v>45865</v>
      </c>
      <c r="Q263" t="inlineStr">
        <is>
          <t>UPI</t>
        </is>
      </c>
      <c r="R263" t="inlineStr">
        <is>
          <t>Corporate</t>
        </is>
      </c>
      <c r="S263" t="n">
        <v>1</v>
      </c>
      <c r="T263" t="inlineStr">
        <is>
          <t>urgent</t>
        </is>
      </c>
    </row>
    <row r="264">
      <c r="A264" t="inlineStr">
        <is>
          <t>O0263</t>
        </is>
      </c>
      <c r="B264" s="2" t="n">
        <v>45896</v>
      </c>
      <c r="C264" t="inlineStr">
        <is>
          <t>East</t>
        </is>
      </c>
      <c r="D264" t="inlineStr">
        <is>
          <t>New York</t>
        </is>
      </c>
      <c r="E264" t="inlineStr">
        <is>
          <t>Neha Joshi</t>
        </is>
      </c>
      <c r="F264" t="inlineStr">
        <is>
          <t>rAhUl shAh</t>
        </is>
      </c>
      <c r="G264" t="inlineStr">
        <is>
          <t>Audio</t>
        </is>
      </c>
      <c r="H264" t="inlineStr">
        <is>
          <t>P108</t>
        </is>
      </c>
      <c r="I264" t="inlineStr">
        <is>
          <t>Buds Pro</t>
        </is>
      </c>
      <c r="J264" t="n">
        <v>2</v>
      </c>
      <c r="K264" s="3" t="n">
        <v>129</v>
      </c>
      <c r="L264" s="4" t="n">
        <v>0.15</v>
      </c>
      <c r="M264" s="3" t="n">
        <v>219.3</v>
      </c>
      <c r="N264" s="3" t="n">
        <v>750</v>
      </c>
      <c r="O264" s="2" t="n">
        <v>45899</v>
      </c>
      <c r="P264" s="2" t="n">
        <v>45903</v>
      </c>
      <c r="Q264" t="inlineStr">
        <is>
          <t>Cash</t>
        </is>
      </c>
      <c r="R264" t="inlineStr">
        <is>
          <t>Returning</t>
        </is>
      </c>
      <c r="S264" t="n">
        <v>3</v>
      </c>
      <c r="T264" t="inlineStr"/>
    </row>
    <row r="265">
      <c r="A265" t="inlineStr">
        <is>
          <t>O0264</t>
        </is>
      </c>
      <c r="B265" s="2" t="n">
        <v>46009</v>
      </c>
      <c r="C265" t="inlineStr">
        <is>
          <t>East</t>
        </is>
      </c>
      <c r="D265" t="inlineStr">
        <is>
          <t>New York</t>
        </is>
      </c>
      <c r="E265" t="inlineStr">
        <is>
          <t>Rahul Mehta</t>
        </is>
      </c>
      <c r="F265" t="inlineStr">
        <is>
          <t>rAhUl shAh</t>
        </is>
      </c>
      <c r="G265" t="inlineStr">
        <is>
          <t>Laptop</t>
        </is>
      </c>
      <c r="H265" t="inlineStr">
        <is>
          <t>P103</t>
        </is>
      </c>
      <c r="I265" t="inlineStr">
        <is>
          <t>ThinkPad E14</t>
        </is>
      </c>
      <c r="J265" t="n">
        <v>12</v>
      </c>
      <c r="K265" s="3" t="n">
        <v>899</v>
      </c>
      <c r="L265" s="4" t="n">
        <v>0.15</v>
      </c>
      <c r="M265" s="3" t="n">
        <v>9169.799999999999</v>
      </c>
      <c r="N265" s="3" t="n">
        <v>300</v>
      </c>
      <c r="O265" s="2" t="n">
        <v>46012</v>
      </c>
      <c r="P265" s="2" t="n">
        <v>46019</v>
      </c>
      <c r="Q265" t="inlineStr">
        <is>
          <t>UPI</t>
        </is>
      </c>
      <c r="R265" t="inlineStr">
        <is>
          <t>New</t>
        </is>
      </c>
      <c r="S265" t="n">
        <v>2</v>
      </c>
      <c r="T265" t="inlineStr">
        <is>
          <t>ok</t>
        </is>
      </c>
    </row>
    <row r="266">
      <c r="A266" t="inlineStr">
        <is>
          <t>O0265</t>
        </is>
      </c>
      <c r="B266" s="2" t="n">
        <v>46004</v>
      </c>
      <c r="C266" t="inlineStr">
        <is>
          <t>South</t>
        </is>
      </c>
      <c r="D266" t="inlineStr">
        <is>
          <t>Texas</t>
        </is>
      </c>
      <c r="E266" t="inlineStr">
        <is>
          <t>Neha Joshi</t>
        </is>
      </c>
      <c r="F266" t="inlineStr">
        <is>
          <t xml:space="preserve"> Neha  Joshi </t>
        </is>
      </c>
      <c r="G266" t="inlineStr">
        <is>
          <t>Mobile</t>
        </is>
      </c>
      <c r="H266" t="inlineStr">
        <is>
          <t>P101</t>
        </is>
      </c>
      <c r="I266" t="inlineStr">
        <is>
          <t>iPhone 15</t>
        </is>
      </c>
      <c r="J266" t="n">
        <v>14</v>
      </c>
      <c r="K266" s="3" t="n">
        <v>699</v>
      </c>
      <c r="L266" s="4" t="n">
        <v>0.02</v>
      </c>
      <c r="M266" s="3" t="n">
        <v>9590.280000000001</v>
      </c>
      <c r="N266" s="3" t="n">
        <v>300</v>
      </c>
      <c r="O266" s="2" t="n">
        <v>46007</v>
      </c>
      <c r="P266" s="2" t="n">
        <v>46010</v>
      </c>
      <c r="Q266" t="inlineStr">
        <is>
          <t>UPI</t>
        </is>
      </c>
      <c r="R266" t="inlineStr">
        <is>
          <t>New</t>
        </is>
      </c>
      <c r="S266" t="n">
        <v>4</v>
      </c>
      <c r="T266" t="inlineStr">
        <is>
          <t xml:space="preserve"> normal </t>
        </is>
      </c>
    </row>
    <row r="267">
      <c r="A267" t="inlineStr">
        <is>
          <t>O0266</t>
        </is>
      </c>
      <c r="B267" s="2" t="n">
        <v>45689</v>
      </c>
      <c r="C267" t="inlineStr">
        <is>
          <t>West</t>
        </is>
      </c>
      <c r="D267" t="inlineStr">
        <is>
          <t>California</t>
        </is>
      </c>
      <c r="E267" t="inlineStr">
        <is>
          <t>Sara Khan</t>
        </is>
      </c>
      <c r="F267" t="inlineStr">
        <is>
          <t>Sara Khan</t>
        </is>
      </c>
      <c r="G267" t="inlineStr">
        <is>
          <t>Mobile</t>
        </is>
      </c>
      <c r="H267" t="inlineStr">
        <is>
          <t>P101</t>
        </is>
      </c>
      <c r="I267" t="inlineStr">
        <is>
          <t>iPhone 15</t>
        </is>
      </c>
      <c r="J267" t="n">
        <v>4</v>
      </c>
      <c r="K267" s="3" t="n">
        <v>699</v>
      </c>
      <c r="L267" s="4" t="n">
        <v>0.1</v>
      </c>
      <c r="M267" s="3" t="n">
        <v>2516.4</v>
      </c>
      <c r="N267" s="3" t="n">
        <v>750</v>
      </c>
      <c r="O267" s="2" t="n">
        <v>45691</v>
      </c>
      <c r="P267" s="2" t="n">
        <v>45693</v>
      </c>
      <c r="Q267" t="inlineStr">
        <is>
          <t>Credit Card</t>
        </is>
      </c>
      <c r="R267" t="inlineStr">
        <is>
          <t>Corporate</t>
        </is>
      </c>
      <c r="S267" t="n">
        <v>5</v>
      </c>
      <c r="T267" t="inlineStr">
        <is>
          <t>ok</t>
        </is>
      </c>
    </row>
    <row r="268">
      <c r="A268" t="inlineStr">
        <is>
          <t>O0267</t>
        </is>
      </c>
      <c r="B268" s="2" t="n">
        <v>45759</v>
      </c>
      <c r="C268" t="inlineStr">
        <is>
          <t>East</t>
        </is>
      </c>
      <c r="D268" t="inlineStr">
        <is>
          <t>New York</t>
        </is>
      </c>
      <c r="E268" t="inlineStr">
        <is>
          <t>Amit Shah</t>
        </is>
      </c>
      <c r="F268" t="inlineStr">
        <is>
          <t>PRIYA PATEL</t>
        </is>
      </c>
      <c r="G268" t="inlineStr">
        <is>
          <t>Mobile</t>
        </is>
      </c>
      <c r="H268" t="inlineStr">
        <is>
          <t>P102</t>
        </is>
      </c>
      <c r="I268" t="inlineStr">
        <is>
          <t>Galaxy S24</t>
        </is>
      </c>
      <c r="J268" t="n">
        <v>3</v>
      </c>
      <c r="K268" s="3" t="n">
        <v>799</v>
      </c>
      <c r="L268" s="4" t="n">
        <v>0</v>
      </c>
      <c r="M268" s="3" t="n">
        <v>2397</v>
      </c>
      <c r="N268" s="3" t="n">
        <v>5000</v>
      </c>
      <c r="O268" s="2" t="n">
        <v>45763</v>
      </c>
      <c r="P268" s="2" t="n">
        <v>45770</v>
      </c>
      <c r="Q268" t="inlineStr">
        <is>
          <t>Credit Card</t>
        </is>
      </c>
      <c r="R268" t="inlineStr">
        <is>
          <t>Returning</t>
        </is>
      </c>
      <c r="S268" t="n">
        <v>1</v>
      </c>
      <c r="T268" t="inlineStr">
        <is>
          <t>urgent</t>
        </is>
      </c>
    </row>
    <row r="269">
      <c r="A269" t="inlineStr">
        <is>
          <t>O0268</t>
        </is>
      </c>
      <c r="B269" s="2" t="n">
        <v>45912</v>
      </c>
      <c r="C269" t="inlineStr">
        <is>
          <t>South</t>
        </is>
      </c>
      <c r="D269" t="inlineStr">
        <is>
          <t>Texas</t>
        </is>
      </c>
      <c r="E269" t="inlineStr">
        <is>
          <t>Priya Patel</t>
        </is>
      </c>
      <c r="F269" t="inlineStr">
        <is>
          <t>PRIYA PATEL</t>
        </is>
      </c>
      <c r="G269" t="inlineStr">
        <is>
          <t>Audio</t>
        </is>
      </c>
      <c r="H269" t="inlineStr">
        <is>
          <t>P107</t>
        </is>
      </c>
      <c r="I269" t="inlineStr">
        <is>
          <t>AirPods</t>
        </is>
      </c>
      <c r="J269" t="n">
        <v>11</v>
      </c>
      <c r="K269" s="3" t="n">
        <v>179</v>
      </c>
      <c r="L269" s="4" t="n">
        <v>0.1</v>
      </c>
      <c r="M269" s="3" t="n">
        <v>1772.1</v>
      </c>
      <c r="N269" s="3" t="n">
        <v>500</v>
      </c>
      <c r="O269" s="2" t="n">
        <v>45913</v>
      </c>
      <c r="P269" s="2" t="n">
        <v>45917</v>
      </c>
      <c r="Q269" t="inlineStr">
        <is>
          <t>UPI</t>
        </is>
      </c>
      <c r="R269" t="inlineStr">
        <is>
          <t>Returning</t>
        </is>
      </c>
      <c r="S269" t="n">
        <v>3</v>
      </c>
      <c r="T269" t="inlineStr">
        <is>
          <t xml:space="preserve">  follow-up  </t>
        </is>
      </c>
    </row>
    <row r="270">
      <c r="A270" t="inlineStr">
        <is>
          <t>O0269</t>
        </is>
      </c>
      <c r="B270" s="2" t="n">
        <v>45975</v>
      </c>
      <c r="C270" t="inlineStr">
        <is>
          <t>West</t>
        </is>
      </c>
      <c r="D270" t="inlineStr">
        <is>
          <t>California</t>
        </is>
      </c>
      <c r="E270" t="inlineStr">
        <is>
          <t>John Smith</t>
        </is>
      </c>
      <c r="F270" t="inlineStr">
        <is>
          <t xml:space="preserve"> Neha  Joshi </t>
        </is>
      </c>
      <c r="G270" t="inlineStr">
        <is>
          <t>Accessory</t>
        </is>
      </c>
      <c r="H270" t="inlineStr">
        <is>
          <t>P110</t>
        </is>
      </c>
      <c r="I270" t="inlineStr">
        <is>
          <t>Keyboard</t>
        </is>
      </c>
      <c r="J270" t="n">
        <v>11</v>
      </c>
      <c r="K270" s="3" t="n">
        <v>59</v>
      </c>
      <c r="L270" s="4" t="n">
        <v>0.05</v>
      </c>
      <c r="M270" s="3" t="n">
        <v>616.55</v>
      </c>
      <c r="N270" s="3" t="n">
        <v>1000</v>
      </c>
      <c r="O270" s="2" t="n">
        <v>45980</v>
      </c>
      <c r="P270" s="2" t="n">
        <v>45982</v>
      </c>
      <c r="Q270" t="inlineStr">
        <is>
          <t>Bank Transfer</t>
        </is>
      </c>
      <c r="R270" t="inlineStr">
        <is>
          <t>New</t>
        </is>
      </c>
      <c r="S270" t="n">
        <v>1</v>
      </c>
      <c r="T270" t="inlineStr">
        <is>
          <t>ok</t>
        </is>
      </c>
    </row>
    <row r="271">
      <c r="A271" t="inlineStr">
        <is>
          <t>O0270</t>
        </is>
      </c>
      <c r="B271" s="2" t="n">
        <v>45760</v>
      </c>
      <c r="C271" t="inlineStr">
        <is>
          <t>South</t>
        </is>
      </c>
      <c r="D271" t="inlineStr">
        <is>
          <t>Florida</t>
        </is>
      </c>
      <c r="E271" t="inlineStr">
        <is>
          <t>Neha Joshi</t>
        </is>
      </c>
      <c r="F271" t="inlineStr">
        <is>
          <t xml:space="preserve"> Rahul Shah </t>
        </is>
      </c>
      <c r="G271" t="inlineStr">
        <is>
          <t>Audio</t>
        </is>
      </c>
      <c r="H271" t="inlineStr">
        <is>
          <t>P107</t>
        </is>
      </c>
      <c r="I271" t="inlineStr">
        <is>
          <t>AirPods</t>
        </is>
      </c>
      <c r="J271" t="n">
        <v>11</v>
      </c>
      <c r="K271" s="3" t="n">
        <v>179</v>
      </c>
      <c r="L271" s="4" t="n">
        <v>0.15</v>
      </c>
      <c r="M271" s="3" t="n">
        <v>1673.65</v>
      </c>
      <c r="N271" s="3" t="n">
        <v>5000</v>
      </c>
      <c r="O271" s="2" t="n">
        <v>45765</v>
      </c>
      <c r="P271" s="2" t="n">
        <v>45767</v>
      </c>
      <c r="Q271" t="inlineStr">
        <is>
          <t>Cash</t>
        </is>
      </c>
      <c r="R271" t="inlineStr">
        <is>
          <t>Returning</t>
        </is>
      </c>
      <c r="S271" t="n">
        <v>5</v>
      </c>
      <c r="T271" t="inlineStr"/>
    </row>
    <row r="272">
      <c r="A272" t="inlineStr">
        <is>
          <t>O0271</t>
        </is>
      </c>
      <c r="B272" s="2" t="n">
        <v>45915</v>
      </c>
      <c r="C272" t="inlineStr">
        <is>
          <t>South</t>
        </is>
      </c>
      <c r="D272" t="inlineStr">
        <is>
          <t>Georgia</t>
        </is>
      </c>
      <c r="E272" t="inlineStr">
        <is>
          <t>John Smith</t>
        </is>
      </c>
      <c r="F272" t="inlineStr">
        <is>
          <t>PRIYA PATEL</t>
        </is>
      </c>
      <c r="G272" t="inlineStr">
        <is>
          <t>Accessory</t>
        </is>
      </c>
      <c r="H272" t="inlineStr">
        <is>
          <t>P110</t>
        </is>
      </c>
      <c r="I272" t="inlineStr">
        <is>
          <t>Keyboard</t>
        </is>
      </c>
      <c r="J272" t="n">
        <v>5</v>
      </c>
      <c r="K272" s="3" t="n">
        <v>59</v>
      </c>
      <c r="L272" s="4" t="n">
        <v>0.02</v>
      </c>
      <c r="M272" s="3" t="n">
        <v>289.1</v>
      </c>
      <c r="N272" s="3" t="n">
        <v>300</v>
      </c>
      <c r="O272" s="2" t="n">
        <v>45918</v>
      </c>
      <c r="P272" s="2" t="n">
        <v>45922</v>
      </c>
      <c r="Q272" t="inlineStr">
        <is>
          <t>UPI</t>
        </is>
      </c>
      <c r="R272" t="inlineStr">
        <is>
          <t>New</t>
        </is>
      </c>
      <c r="S272" t="n">
        <v>3</v>
      </c>
      <c r="T272" t="inlineStr">
        <is>
          <t xml:space="preserve"> normal </t>
        </is>
      </c>
    </row>
    <row r="273">
      <c r="A273" t="inlineStr">
        <is>
          <t>O0272</t>
        </is>
      </c>
      <c r="B273" s="2" t="n">
        <v>45957</v>
      </c>
      <c r="C273" t="inlineStr">
        <is>
          <t>South</t>
        </is>
      </c>
      <c r="D273" t="inlineStr">
        <is>
          <t>Texas</t>
        </is>
      </c>
      <c r="E273" t="inlineStr">
        <is>
          <t>Rahul Mehta</t>
        </is>
      </c>
      <c r="F273" t="inlineStr">
        <is>
          <t>rAhUl shAh</t>
        </is>
      </c>
      <c r="G273" t="inlineStr">
        <is>
          <t>Tablet</t>
        </is>
      </c>
      <c r="H273" t="inlineStr">
        <is>
          <t>P106</t>
        </is>
      </c>
      <c r="I273" t="inlineStr">
        <is>
          <t>Galaxy Tab</t>
        </is>
      </c>
      <c r="J273" t="n">
        <v>2</v>
      </c>
      <c r="K273" s="3" t="n">
        <v>499</v>
      </c>
      <c r="L273" s="4" t="n">
        <v>0.02</v>
      </c>
      <c r="M273" s="3" t="n">
        <v>978.04</v>
      </c>
      <c r="N273" s="3" t="n">
        <v>2500</v>
      </c>
      <c r="O273" s="2" t="n">
        <v>45959</v>
      </c>
      <c r="P273" s="2" t="n">
        <v>45961</v>
      </c>
      <c r="Q273" t="inlineStr">
        <is>
          <t>Credit Card</t>
        </is>
      </c>
      <c r="R273" t="inlineStr">
        <is>
          <t>New</t>
        </is>
      </c>
      <c r="S273" t="n">
        <v>5</v>
      </c>
      <c r="T273" t="inlineStr"/>
    </row>
    <row r="274">
      <c r="A274" t="inlineStr">
        <is>
          <t>O0273</t>
        </is>
      </c>
      <c r="B274" s="2" t="n">
        <v>45748</v>
      </c>
      <c r="C274" t="inlineStr">
        <is>
          <t>South</t>
        </is>
      </c>
      <c r="D274" t="inlineStr">
        <is>
          <t>Georgia</t>
        </is>
      </c>
      <c r="E274" t="inlineStr">
        <is>
          <t>Sara Khan</t>
        </is>
      </c>
      <c r="F274" t="inlineStr">
        <is>
          <t xml:space="preserve"> Rahul Shah </t>
        </is>
      </c>
      <c r="G274" t="inlineStr">
        <is>
          <t>Laptop</t>
        </is>
      </c>
      <c r="H274" t="inlineStr">
        <is>
          <t>P103</t>
        </is>
      </c>
      <c r="I274" t="inlineStr">
        <is>
          <t>ThinkPad E14</t>
        </is>
      </c>
      <c r="J274" t="n">
        <v>6</v>
      </c>
      <c r="K274" s="3" t="n">
        <v>899</v>
      </c>
      <c r="L274" s="4" t="n">
        <v>0.05</v>
      </c>
      <c r="M274" s="3" t="n">
        <v>5124.3</v>
      </c>
      <c r="N274" s="3" t="n">
        <v>1500</v>
      </c>
      <c r="O274" s="2" t="n">
        <v>45750</v>
      </c>
      <c r="P274" s="2" t="n">
        <v>45755</v>
      </c>
      <c r="Q274" t="inlineStr">
        <is>
          <t>Cash</t>
        </is>
      </c>
      <c r="R274" t="inlineStr">
        <is>
          <t>Corporate</t>
        </is>
      </c>
      <c r="S274" t="n">
        <v>5</v>
      </c>
      <c r="T274" t="inlineStr">
        <is>
          <t>urgent</t>
        </is>
      </c>
    </row>
    <row r="275">
      <c r="A275" t="inlineStr">
        <is>
          <t>O0274</t>
        </is>
      </c>
      <c r="B275" s="2" t="n">
        <v>45816</v>
      </c>
      <c r="C275" t="inlineStr">
        <is>
          <t>West</t>
        </is>
      </c>
      <c r="D275" t="inlineStr">
        <is>
          <t>Texas</t>
        </is>
      </c>
      <c r="E275" t="inlineStr">
        <is>
          <t>John Smith</t>
        </is>
      </c>
      <c r="F275" t="inlineStr">
        <is>
          <t>rAhUl shAh</t>
        </is>
      </c>
      <c r="G275" t="inlineStr">
        <is>
          <t>Monitor</t>
        </is>
      </c>
      <c r="H275" t="inlineStr">
        <is>
          <t>P109</t>
        </is>
      </c>
      <c r="I275" t="inlineStr">
        <is>
          <t>Monitor 24</t>
        </is>
      </c>
      <c r="J275" t="n">
        <v>1</v>
      </c>
      <c r="K275" s="3" t="n">
        <v>229</v>
      </c>
      <c r="L275" s="4" t="n">
        <v>0</v>
      </c>
      <c r="M275" s="3" t="n">
        <v>229</v>
      </c>
      <c r="N275" s="3" t="n">
        <v>300</v>
      </c>
      <c r="O275" s="2" t="n">
        <v>45818</v>
      </c>
      <c r="P275" s="2" t="n">
        <v>45822</v>
      </c>
      <c r="Q275" t="inlineStr">
        <is>
          <t>UPI</t>
        </is>
      </c>
      <c r="R275" t="inlineStr">
        <is>
          <t>New</t>
        </is>
      </c>
      <c r="S275" t="n">
        <v>5</v>
      </c>
      <c r="T275" t="inlineStr">
        <is>
          <t xml:space="preserve">  follow-up  </t>
        </is>
      </c>
    </row>
    <row r="276">
      <c r="A276" t="inlineStr">
        <is>
          <t>O0275</t>
        </is>
      </c>
      <c r="B276" s="2" t="n">
        <v>45761</v>
      </c>
      <c r="C276" t="inlineStr">
        <is>
          <t>East</t>
        </is>
      </c>
      <c r="D276" t="inlineStr">
        <is>
          <t>Massachusetts</t>
        </is>
      </c>
      <c r="E276" t="inlineStr">
        <is>
          <t>Amit Shah</t>
        </is>
      </c>
      <c r="F276" t="inlineStr">
        <is>
          <t>PRIYA PATEL</t>
        </is>
      </c>
      <c r="G276" t="inlineStr">
        <is>
          <t>Accessory</t>
        </is>
      </c>
      <c r="H276" t="inlineStr">
        <is>
          <t>P110</t>
        </is>
      </c>
      <c r="I276" t="inlineStr">
        <is>
          <t>Keyboard</t>
        </is>
      </c>
      <c r="J276" t="n">
        <v>12</v>
      </c>
      <c r="K276" s="3" t="n">
        <v>59</v>
      </c>
      <c r="L276" s="4" t="n">
        <v>0.02</v>
      </c>
      <c r="M276" s="3" t="n">
        <v>693.84</v>
      </c>
      <c r="N276" s="3" t="n">
        <v>5000</v>
      </c>
      <c r="O276" s="2" t="n">
        <v>45763</v>
      </c>
      <c r="P276" s="2" t="n">
        <v>45766</v>
      </c>
      <c r="Q276" t="inlineStr">
        <is>
          <t>Credit Card</t>
        </is>
      </c>
      <c r="R276" t="inlineStr">
        <is>
          <t>New</t>
        </is>
      </c>
      <c r="S276" t="n">
        <v>5</v>
      </c>
      <c r="T276" t="inlineStr">
        <is>
          <t>refund pending</t>
        </is>
      </c>
    </row>
    <row r="277">
      <c r="A277" t="inlineStr">
        <is>
          <t>O0276</t>
        </is>
      </c>
      <c r="B277" s="2" t="n">
        <v>45844</v>
      </c>
      <c r="C277" t="inlineStr">
        <is>
          <t>West</t>
        </is>
      </c>
      <c r="D277" t="inlineStr">
        <is>
          <t>California</t>
        </is>
      </c>
      <c r="E277" t="inlineStr">
        <is>
          <t>Rahul Mehta</t>
        </is>
      </c>
      <c r="F277" t="inlineStr">
        <is>
          <t xml:space="preserve"> Rahul Shah </t>
        </is>
      </c>
      <c r="G277" t="inlineStr">
        <is>
          <t>Monitor</t>
        </is>
      </c>
      <c r="H277" t="inlineStr">
        <is>
          <t>P109</t>
        </is>
      </c>
      <c r="I277" t="inlineStr">
        <is>
          <t>Monitor 24</t>
        </is>
      </c>
      <c r="J277" t="n">
        <v>12</v>
      </c>
      <c r="K277" s="3" t="n">
        <v>229</v>
      </c>
      <c r="L277" s="4" t="n">
        <v>0.1</v>
      </c>
      <c r="M277" s="3" t="n">
        <v>2473.2</v>
      </c>
      <c r="N277" s="3" t="n">
        <v>1500</v>
      </c>
      <c r="O277" s="2" t="n">
        <v>45845</v>
      </c>
      <c r="P277" s="2" t="n">
        <v>45848</v>
      </c>
      <c r="Q277" t="inlineStr">
        <is>
          <t>Cash</t>
        </is>
      </c>
      <c r="R277" t="inlineStr">
        <is>
          <t>Returning</t>
        </is>
      </c>
      <c r="S277" t="n">
        <v>2</v>
      </c>
      <c r="T277" t="inlineStr">
        <is>
          <t>urgent</t>
        </is>
      </c>
    </row>
    <row r="278">
      <c r="A278" t="inlineStr">
        <is>
          <t>O0277</t>
        </is>
      </c>
      <c r="B278" s="2" t="n">
        <v>45990</v>
      </c>
      <c r="C278" t="inlineStr">
        <is>
          <t>South</t>
        </is>
      </c>
      <c r="D278" t="inlineStr">
        <is>
          <t>Texas</t>
        </is>
      </c>
      <c r="E278" t="inlineStr">
        <is>
          <t>Rahul Mehta</t>
        </is>
      </c>
      <c r="F278" t="inlineStr">
        <is>
          <t>John Smith</t>
        </is>
      </c>
      <c r="G278" t="inlineStr">
        <is>
          <t>Audio</t>
        </is>
      </c>
      <c r="H278" t="inlineStr">
        <is>
          <t>P108</t>
        </is>
      </c>
      <c r="I278" t="inlineStr">
        <is>
          <t>Buds Pro</t>
        </is>
      </c>
      <c r="J278" t="n">
        <v>12</v>
      </c>
      <c r="K278" s="3" t="n">
        <v>129</v>
      </c>
      <c r="L278" s="4" t="n">
        <v>0.15</v>
      </c>
      <c r="M278" s="3" t="n">
        <v>1315.8</v>
      </c>
      <c r="N278" s="3" t="n">
        <v>2500</v>
      </c>
      <c r="O278" s="2" t="n">
        <v>45993</v>
      </c>
      <c r="P278" s="2" t="n">
        <v>45995</v>
      </c>
      <c r="Q278" t="inlineStr">
        <is>
          <t>UPI</t>
        </is>
      </c>
      <c r="R278" t="inlineStr">
        <is>
          <t>Corporate</t>
        </is>
      </c>
      <c r="S278" t="n">
        <v>5</v>
      </c>
      <c r="T278" t="inlineStr"/>
    </row>
    <row r="279">
      <c r="A279" t="inlineStr">
        <is>
          <t>O0278</t>
        </is>
      </c>
      <c r="B279" s="2" t="n">
        <v>46010</v>
      </c>
      <c r="C279" t="inlineStr">
        <is>
          <t>West</t>
        </is>
      </c>
      <c r="D279" t="inlineStr">
        <is>
          <t>Texas</t>
        </is>
      </c>
      <c r="E279" t="inlineStr">
        <is>
          <t>Neha Joshi</t>
        </is>
      </c>
      <c r="F279" t="inlineStr">
        <is>
          <t>John Smith</t>
        </is>
      </c>
      <c r="G279" t="inlineStr">
        <is>
          <t>Tablet</t>
        </is>
      </c>
      <c r="H279" t="inlineStr">
        <is>
          <t>P105</t>
        </is>
      </c>
      <c r="I279" t="inlineStr">
        <is>
          <t>iPad Air</t>
        </is>
      </c>
      <c r="J279" t="n">
        <v>3</v>
      </c>
      <c r="K279" s="3" t="n">
        <v>599</v>
      </c>
      <c r="L279" s="4" t="n">
        <v>0</v>
      </c>
      <c r="M279" s="3" t="n">
        <v>1797</v>
      </c>
      <c r="N279" s="3" t="n">
        <v>2500</v>
      </c>
      <c r="O279" s="2" t="n">
        <v>46013</v>
      </c>
      <c r="P279" s="2" t="n">
        <v>46015</v>
      </c>
      <c r="Q279" t="inlineStr">
        <is>
          <t>Credit Card</t>
        </is>
      </c>
      <c r="R279" t="inlineStr">
        <is>
          <t>New</t>
        </is>
      </c>
      <c r="S279" t="n">
        <v>5</v>
      </c>
      <c r="T279" t="inlineStr">
        <is>
          <t>ok</t>
        </is>
      </c>
    </row>
    <row r="280">
      <c r="A280" t="inlineStr">
        <is>
          <t>O0279</t>
        </is>
      </c>
      <c r="B280" s="2" t="n">
        <v>45711</v>
      </c>
      <c r="C280" t="inlineStr">
        <is>
          <t>West</t>
        </is>
      </c>
      <c r="D280" t="inlineStr">
        <is>
          <t>Washington</t>
        </is>
      </c>
      <c r="E280" t="inlineStr">
        <is>
          <t>Rahul Mehta</t>
        </is>
      </c>
      <c r="F280" t="inlineStr">
        <is>
          <t>PRIYA PATEL</t>
        </is>
      </c>
      <c r="G280" t="inlineStr">
        <is>
          <t>Accessory</t>
        </is>
      </c>
      <c r="H280" t="inlineStr">
        <is>
          <t>P110</t>
        </is>
      </c>
      <c r="I280" t="inlineStr">
        <is>
          <t>Keyboard</t>
        </is>
      </c>
      <c r="J280" t="n">
        <v>6</v>
      </c>
      <c r="K280" s="3" t="n">
        <v>59</v>
      </c>
      <c r="L280" s="4" t="n">
        <v>0</v>
      </c>
      <c r="M280" s="3" t="n">
        <v>354</v>
      </c>
      <c r="N280" s="3" t="n">
        <v>500</v>
      </c>
      <c r="O280" s="2" t="n">
        <v>45715</v>
      </c>
      <c r="P280" s="2" t="n">
        <v>45717</v>
      </c>
      <c r="Q280" t="inlineStr">
        <is>
          <t>UPI</t>
        </is>
      </c>
      <c r="R280" t="inlineStr">
        <is>
          <t>Corporate</t>
        </is>
      </c>
      <c r="S280" t="n">
        <v>1</v>
      </c>
      <c r="T280" t="inlineStr"/>
    </row>
    <row r="281">
      <c r="A281" t="inlineStr">
        <is>
          <t>O0280</t>
        </is>
      </c>
      <c r="B281" s="2" t="n">
        <v>45793</v>
      </c>
      <c r="C281" t="inlineStr">
        <is>
          <t>North</t>
        </is>
      </c>
      <c r="D281" t="inlineStr">
        <is>
          <t>Michigan</t>
        </is>
      </c>
      <c r="E281" t="inlineStr">
        <is>
          <t>Amit Shah</t>
        </is>
      </c>
      <c r="F281" t="inlineStr">
        <is>
          <t>PRIYA PATEL</t>
        </is>
      </c>
      <c r="G281" t="inlineStr">
        <is>
          <t>Mobile</t>
        </is>
      </c>
      <c r="H281" t="inlineStr">
        <is>
          <t>P101</t>
        </is>
      </c>
      <c r="I281" t="inlineStr">
        <is>
          <t>iPhone 15</t>
        </is>
      </c>
      <c r="J281" t="n">
        <v>12</v>
      </c>
      <c r="K281" s="3" t="n">
        <v>699</v>
      </c>
      <c r="L281" s="4" t="n">
        <v>0</v>
      </c>
      <c r="M281" s="3" t="n">
        <v>8388</v>
      </c>
      <c r="N281" s="3" t="n">
        <v>750</v>
      </c>
      <c r="O281" s="2" t="n">
        <v>45795</v>
      </c>
      <c r="P281" s="2" t="n">
        <v>45797</v>
      </c>
      <c r="Q281" t="inlineStr">
        <is>
          <t>Credit Card</t>
        </is>
      </c>
      <c r="R281" t="inlineStr">
        <is>
          <t>New</t>
        </is>
      </c>
      <c r="S281" t="n">
        <v>4</v>
      </c>
      <c r="T281" t="inlineStr">
        <is>
          <t xml:space="preserve">  follow-up  </t>
        </is>
      </c>
    </row>
    <row r="282">
      <c r="A282" t="inlineStr">
        <is>
          <t>O0281</t>
        </is>
      </c>
      <c r="B282" s="2" t="n">
        <v>45910</v>
      </c>
      <c r="C282" t="inlineStr">
        <is>
          <t>South</t>
        </is>
      </c>
      <c r="D282" t="inlineStr">
        <is>
          <t>Florida</t>
        </is>
      </c>
      <c r="E282" t="inlineStr">
        <is>
          <t>John Smith</t>
        </is>
      </c>
      <c r="F282" t="inlineStr">
        <is>
          <t xml:space="preserve"> Neha  Joshi </t>
        </is>
      </c>
      <c r="G282" t="inlineStr">
        <is>
          <t>Audio</t>
        </is>
      </c>
      <c r="H282" t="inlineStr">
        <is>
          <t>P107</t>
        </is>
      </c>
      <c r="I282" t="inlineStr">
        <is>
          <t>AirPods</t>
        </is>
      </c>
      <c r="J282" t="n">
        <v>9</v>
      </c>
      <c r="K282" s="3" t="n">
        <v>179</v>
      </c>
      <c r="L282" s="4" t="n">
        <v>0.1</v>
      </c>
      <c r="M282" s="3" t="n">
        <v>1449.9</v>
      </c>
      <c r="N282" s="3" t="n">
        <v>300</v>
      </c>
      <c r="O282" s="2" t="n">
        <v>45914</v>
      </c>
      <c r="P282" s="2" t="n">
        <v>45917</v>
      </c>
      <c r="Q282" t="inlineStr">
        <is>
          <t>UPI</t>
        </is>
      </c>
      <c r="R282" t="inlineStr">
        <is>
          <t>New</t>
        </is>
      </c>
      <c r="S282" t="n">
        <v>4</v>
      </c>
      <c r="T282" t="inlineStr">
        <is>
          <t xml:space="preserve"> normal </t>
        </is>
      </c>
    </row>
    <row r="283">
      <c r="A283" t="inlineStr">
        <is>
          <t>O0282</t>
        </is>
      </c>
      <c r="B283" s="2" t="n">
        <v>45821</v>
      </c>
      <c r="C283" t="inlineStr">
        <is>
          <t>East</t>
        </is>
      </c>
      <c r="D283" t="inlineStr">
        <is>
          <t>Massachusetts</t>
        </is>
      </c>
      <c r="E283" t="inlineStr">
        <is>
          <t>Priya Patel</t>
        </is>
      </c>
      <c r="F283" t="inlineStr">
        <is>
          <t xml:space="preserve"> Neha  Joshi </t>
        </is>
      </c>
      <c r="G283" t="inlineStr">
        <is>
          <t>Mobile</t>
        </is>
      </c>
      <c r="H283" t="inlineStr">
        <is>
          <t>P101</t>
        </is>
      </c>
      <c r="I283" t="inlineStr">
        <is>
          <t>iPhone 15</t>
        </is>
      </c>
      <c r="J283" t="n">
        <v>2</v>
      </c>
      <c r="K283" s="3" t="n">
        <v>699</v>
      </c>
      <c r="L283" s="4" t="n">
        <v>0.05</v>
      </c>
      <c r="M283" s="3" t="n">
        <v>1328.1</v>
      </c>
      <c r="N283" s="3" t="n">
        <v>500</v>
      </c>
      <c r="O283" s="2" t="n">
        <v>45824</v>
      </c>
      <c r="P283" s="2" t="n">
        <v>45825</v>
      </c>
      <c r="Q283" t="inlineStr">
        <is>
          <t>Credit Card</t>
        </is>
      </c>
      <c r="R283" t="inlineStr">
        <is>
          <t>Corporate</t>
        </is>
      </c>
      <c r="S283" t="n">
        <v>1</v>
      </c>
      <c r="T283" t="inlineStr">
        <is>
          <t>ok</t>
        </is>
      </c>
    </row>
    <row r="284">
      <c r="A284" t="inlineStr">
        <is>
          <t>O0283</t>
        </is>
      </c>
      <c r="B284" s="2" t="n">
        <v>45878</v>
      </c>
      <c r="C284" t="inlineStr">
        <is>
          <t>South</t>
        </is>
      </c>
      <c r="D284" t="inlineStr">
        <is>
          <t>Texas</t>
        </is>
      </c>
      <c r="E284" t="inlineStr">
        <is>
          <t>Amit Shah</t>
        </is>
      </c>
      <c r="F284" t="inlineStr">
        <is>
          <t xml:space="preserve"> Rahul Shah </t>
        </is>
      </c>
      <c r="G284" t="inlineStr">
        <is>
          <t>Mobile</t>
        </is>
      </c>
      <c r="H284" t="inlineStr">
        <is>
          <t>P101</t>
        </is>
      </c>
      <c r="I284" t="inlineStr">
        <is>
          <t>iPhone 15</t>
        </is>
      </c>
      <c r="J284" t="n">
        <v>15</v>
      </c>
      <c r="K284" s="3" t="n">
        <v>699</v>
      </c>
      <c r="L284" s="4" t="n">
        <v>0.1</v>
      </c>
      <c r="M284" s="3" t="n">
        <v>9436.5</v>
      </c>
      <c r="N284" s="3" t="n">
        <v>500</v>
      </c>
      <c r="O284" s="2" t="n">
        <v>45880</v>
      </c>
      <c r="P284" s="2" t="n">
        <v>45885</v>
      </c>
      <c r="Q284" t="inlineStr">
        <is>
          <t>Cash</t>
        </is>
      </c>
      <c r="R284" t="inlineStr">
        <is>
          <t>New</t>
        </is>
      </c>
      <c r="S284" t="n">
        <v>2</v>
      </c>
      <c r="T284" t="inlineStr">
        <is>
          <t xml:space="preserve">  follow-up  </t>
        </is>
      </c>
    </row>
    <row r="285">
      <c r="A285" t="inlineStr">
        <is>
          <t>O0284</t>
        </is>
      </c>
      <c r="B285" s="2" t="n">
        <v>45810</v>
      </c>
      <c r="C285" t="inlineStr">
        <is>
          <t>North</t>
        </is>
      </c>
      <c r="D285" t="inlineStr">
        <is>
          <t>Minnesota</t>
        </is>
      </c>
      <c r="E285" t="inlineStr">
        <is>
          <t>Neha Joshi</t>
        </is>
      </c>
      <c r="F285" t="inlineStr">
        <is>
          <t>John Smith</t>
        </is>
      </c>
      <c r="G285" t="inlineStr">
        <is>
          <t>Tablet</t>
        </is>
      </c>
      <c r="H285" t="inlineStr">
        <is>
          <t>P105</t>
        </is>
      </c>
      <c r="I285" t="inlineStr">
        <is>
          <t>iPad Air</t>
        </is>
      </c>
      <c r="J285" t="n">
        <v>1</v>
      </c>
      <c r="K285" s="3" t="n">
        <v>599</v>
      </c>
      <c r="L285" s="4" t="n">
        <v>0.1</v>
      </c>
      <c r="M285" s="3" t="n">
        <v>539.1</v>
      </c>
      <c r="N285" s="3" t="n">
        <v>1500</v>
      </c>
      <c r="O285" s="2" t="n">
        <v>45812</v>
      </c>
      <c r="P285" s="2" t="n">
        <v>45813</v>
      </c>
      <c r="Q285" t="inlineStr">
        <is>
          <t>UPI</t>
        </is>
      </c>
      <c r="R285" t="inlineStr">
        <is>
          <t>New</t>
        </is>
      </c>
      <c r="S285" t="n">
        <v>3</v>
      </c>
      <c r="T285" t="inlineStr">
        <is>
          <t xml:space="preserve"> normal </t>
        </is>
      </c>
    </row>
    <row r="286">
      <c r="A286" t="inlineStr">
        <is>
          <t>O0285</t>
        </is>
      </c>
      <c r="B286" s="2" t="n">
        <v>45996</v>
      </c>
      <c r="C286" t="inlineStr">
        <is>
          <t>South</t>
        </is>
      </c>
      <c r="D286" t="inlineStr">
        <is>
          <t>Florida</t>
        </is>
      </c>
      <c r="E286" t="inlineStr">
        <is>
          <t>Priya Patel</t>
        </is>
      </c>
      <c r="F286" t="inlineStr">
        <is>
          <t>rAhUl shAh</t>
        </is>
      </c>
      <c r="G286" t="inlineStr">
        <is>
          <t>Tablet</t>
        </is>
      </c>
      <c r="H286" t="inlineStr">
        <is>
          <t>P105</t>
        </is>
      </c>
      <c r="I286" t="inlineStr">
        <is>
          <t>iPad Air</t>
        </is>
      </c>
      <c r="J286" t="n">
        <v>4</v>
      </c>
      <c r="K286" s="3" t="n">
        <v>599</v>
      </c>
      <c r="L286" s="4" t="n">
        <v>0</v>
      </c>
      <c r="M286" s="3" t="n">
        <v>2396</v>
      </c>
      <c r="N286" s="3" t="n">
        <v>300</v>
      </c>
      <c r="O286" s="2" t="n">
        <v>46001</v>
      </c>
      <c r="P286" s="2" t="n">
        <v>46005</v>
      </c>
      <c r="Q286" t="inlineStr">
        <is>
          <t>Cash</t>
        </is>
      </c>
      <c r="R286" t="inlineStr">
        <is>
          <t>New</t>
        </is>
      </c>
      <c r="S286" t="n">
        <v>4</v>
      </c>
      <c r="T286" t="inlineStr"/>
    </row>
    <row r="287">
      <c r="A287" t="inlineStr">
        <is>
          <t>O0286</t>
        </is>
      </c>
      <c r="B287" s="2" t="n">
        <v>45899</v>
      </c>
      <c r="C287" t="inlineStr">
        <is>
          <t>East</t>
        </is>
      </c>
      <c r="D287" t="inlineStr">
        <is>
          <t>Massachusetts</t>
        </is>
      </c>
      <c r="E287" t="inlineStr">
        <is>
          <t>Neha Joshi</t>
        </is>
      </c>
      <c r="F287" t="inlineStr">
        <is>
          <t>John Smith</t>
        </is>
      </c>
      <c r="G287" t="inlineStr">
        <is>
          <t>Audio</t>
        </is>
      </c>
      <c r="H287" t="inlineStr">
        <is>
          <t>P107</t>
        </is>
      </c>
      <c r="I287" t="inlineStr">
        <is>
          <t>AirPods</t>
        </is>
      </c>
      <c r="J287" t="n">
        <v>5</v>
      </c>
      <c r="K287" s="3" t="n">
        <v>179</v>
      </c>
      <c r="L287" s="4" t="n">
        <v>0</v>
      </c>
      <c r="M287" s="3" t="n">
        <v>895</v>
      </c>
      <c r="N287" s="3" t="n">
        <v>2500</v>
      </c>
      <c r="O287" s="2" t="n">
        <v>45903</v>
      </c>
      <c r="P287" s="2" t="n">
        <v>45909</v>
      </c>
      <c r="Q287" t="inlineStr">
        <is>
          <t>UPI</t>
        </is>
      </c>
      <c r="R287" t="inlineStr">
        <is>
          <t>Returning</t>
        </is>
      </c>
      <c r="S287" t="n">
        <v>4</v>
      </c>
      <c r="T287" t="inlineStr">
        <is>
          <t>ok</t>
        </is>
      </c>
    </row>
    <row r="288">
      <c r="A288" t="inlineStr">
        <is>
          <t>O0287</t>
        </is>
      </c>
      <c r="B288" s="2" t="n">
        <v>45792</v>
      </c>
      <c r="C288" t="inlineStr">
        <is>
          <t>West</t>
        </is>
      </c>
      <c r="D288" t="inlineStr">
        <is>
          <t>Texas</t>
        </is>
      </c>
      <c r="E288" t="inlineStr">
        <is>
          <t>John Smith</t>
        </is>
      </c>
      <c r="F288" t="inlineStr">
        <is>
          <t>PRIYA PATEL</t>
        </is>
      </c>
      <c r="G288" t="inlineStr">
        <is>
          <t>Mobile</t>
        </is>
      </c>
      <c r="H288" t="inlineStr">
        <is>
          <t>P101</t>
        </is>
      </c>
      <c r="I288" t="inlineStr">
        <is>
          <t>iPhone 15</t>
        </is>
      </c>
      <c r="J288" t="n">
        <v>5</v>
      </c>
      <c r="K288" s="3" t="n">
        <v>699</v>
      </c>
      <c r="L288" s="4" t="n">
        <v>0.02</v>
      </c>
      <c r="M288" s="3" t="n">
        <v>3425.1</v>
      </c>
      <c r="N288" s="3" t="n">
        <v>5000</v>
      </c>
      <c r="O288" s="2" t="n">
        <v>45796</v>
      </c>
      <c r="P288" s="2" t="n">
        <v>45800</v>
      </c>
      <c r="Q288" t="inlineStr">
        <is>
          <t>Credit Card</t>
        </is>
      </c>
      <c r="R288" t="inlineStr">
        <is>
          <t>New</t>
        </is>
      </c>
      <c r="S288" t="n">
        <v>1</v>
      </c>
      <c r="T288" t="inlineStr">
        <is>
          <t xml:space="preserve"> normal </t>
        </is>
      </c>
    </row>
    <row r="289">
      <c r="A289" t="inlineStr">
        <is>
          <t>O0288</t>
        </is>
      </c>
      <c r="B289" s="2" t="n">
        <v>45959</v>
      </c>
      <c r="C289" t="inlineStr">
        <is>
          <t>North</t>
        </is>
      </c>
      <c r="D289" t="inlineStr">
        <is>
          <t>Minnesota</t>
        </is>
      </c>
      <c r="E289" t="inlineStr">
        <is>
          <t>Neha Joshi</t>
        </is>
      </c>
      <c r="F289" t="inlineStr">
        <is>
          <t>John Smith</t>
        </is>
      </c>
      <c r="G289" t="inlineStr">
        <is>
          <t>Audio</t>
        </is>
      </c>
      <c r="H289" t="inlineStr">
        <is>
          <t>P107</t>
        </is>
      </c>
      <c r="I289" t="inlineStr">
        <is>
          <t>AirPods</t>
        </is>
      </c>
      <c r="J289" t="n">
        <v>1</v>
      </c>
      <c r="K289" s="3" t="n">
        <v>179</v>
      </c>
      <c r="L289" s="4" t="n">
        <v>0.1</v>
      </c>
      <c r="M289" s="3" t="n">
        <v>161.1</v>
      </c>
      <c r="N289" s="3" t="n">
        <v>5000</v>
      </c>
      <c r="O289" s="2" t="n">
        <v>45961</v>
      </c>
      <c r="P289" s="2" t="n">
        <v>45966</v>
      </c>
      <c r="Q289" t="inlineStr">
        <is>
          <t>Bank Transfer</t>
        </is>
      </c>
      <c r="R289" t="inlineStr">
        <is>
          <t>Corporate</t>
        </is>
      </c>
      <c r="S289" t="n">
        <v>2</v>
      </c>
      <c r="T289" t="inlineStr">
        <is>
          <t xml:space="preserve">  follow-up  </t>
        </is>
      </c>
    </row>
    <row r="290">
      <c r="A290" t="inlineStr">
        <is>
          <t>O0289</t>
        </is>
      </c>
      <c r="B290" s="2" t="n">
        <v>45675</v>
      </c>
      <c r="C290" t="inlineStr">
        <is>
          <t>North</t>
        </is>
      </c>
      <c r="D290" t="inlineStr">
        <is>
          <t>Illinois</t>
        </is>
      </c>
      <c r="E290" t="inlineStr">
        <is>
          <t>Sara Khan</t>
        </is>
      </c>
      <c r="F290" t="inlineStr">
        <is>
          <t>John Smith</t>
        </is>
      </c>
      <c r="G290" t="inlineStr">
        <is>
          <t>Audio</t>
        </is>
      </c>
      <c r="H290" t="inlineStr">
        <is>
          <t>P107</t>
        </is>
      </c>
      <c r="I290" t="inlineStr">
        <is>
          <t>AirPods</t>
        </is>
      </c>
      <c r="J290" t="n">
        <v>15</v>
      </c>
      <c r="K290" s="3" t="n">
        <v>179</v>
      </c>
      <c r="L290" s="4" t="n">
        <v>0.15</v>
      </c>
      <c r="M290" s="3" t="n">
        <v>2282.25</v>
      </c>
      <c r="N290" s="3" t="n">
        <v>5000</v>
      </c>
      <c r="O290" s="2" t="n">
        <v>45680</v>
      </c>
      <c r="P290" s="2" t="n">
        <v>45685</v>
      </c>
      <c r="Q290" t="inlineStr">
        <is>
          <t>UPI</t>
        </is>
      </c>
      <c r="R290" t="inlineStr">
        <is>
          <t>New</t>
        </is>
      </c>
      <c r="S290" t="n">
        <v>4</v>
      </c>
      <c r="T290" t="inlineStr">
        <is>
          <t>urgent</t>
        </is>
      </c>
    </row>
    <row r="291">
      <c r="A291" t="inlineStr">
        <is>
          <t>O0290</t>
        </is>
      </c>
      <c r="B291" s="2" t="n">
        <v>45722</v>
      </c>
      <c r="C291" t="inlineStr">
        <is>
          <t>West</t>
        </is>
      </c>
      <c r="D291" t="inlineStr">
        <is>
          <t>California</t>
        </is>
      </c>
      <c r="E291" t="inlineStr">
        <is>
          <t>Priya Patel</t>
        </is>
      </c>
      <c r="F291" t="inlineStr">
        <is>
          <t>Sara Khan</t>
        </is>
      </c>
      <c r="G291" t="inlineStr">
        <is>
          <t>Laptop</t>
        </is>
      </c>
      <c r="H291" t="inlineStr">
        <is>
          <t>P104</t>
        </is>
      </c>
      <c r="I291" t="inlineStr">
        <is>
          <t>Inspiron 15</t>
        </is>
      </c>
      <c r="J291" t="n">
        <v>2</v>
      </c>
      <c r="K291" s="3" t="n">
        <v>749</v>
      </c>
      <c r="L291" s="4" t="n">
        <v>0.1</v>
      </c>
      <c r="M291" s="3" t="n">
        <v>1348.2</v>
      </c>
      <c r="N291" s="3" t="n">
        <v>500</v>
      </c>
      <c r="O291" s="2" t="n">
        <v>45723</v>
      </c>
      <c r="P291" s="2" t="n">
        <v>45727</v>
      </c>
      <c r="Q291" t="inlineStr">
        <is>
          <t>Cash</t>
        </is>
      </c>
      <c r="R291" t="inlineStr">
        <is>
          <t>Returning</t>
        </is>
      </c>
      <c r="S291" t="n">
        <v>1</v>
      </c>
      <c r="T291" t="inlineStr">
        <is>
          <t xml:space="preserve"> normal </t>
        </is>
      </c>
    </row>
    <row r="292">
      <c r="A292" t="inlineStr">
        <is>
          <t>O0291</t>
        </is>
      </c>
      <c r="B292" s="2" t="n">
        <v>45940</v>
      </c>
      <c r="C292" t="inlineStr">
        <is>
          <t>South</t>
        </is>
      </c>
      <c r="D292" t="inlineStr">
        <is>
          <t>Texas</t>
        </is>
      </c>
      <c r="E292" t="inlineStr">
        <is>
          <t>Sara Khan</t>
        </is>
      </c>
      <c r="F292" t="inlineStr">
        <is>
          <t xml:space="preserve"> Rahul Shah </t>
        </is>
      </c>
      <c r="G292" t="inlineStr">
        <is>
          <t>Audio</t>
        </is>
      </c>
      <c r="H292" t="inlineStr">
        <is>
          <t>P107</t>
        </is>
      </c>
      <c r="I292" t="inlineStr">
        <is>
          <t>AirPods</t>
        </is>
      </c>
      <c r="J292" t="n">
        <v>5</v>
      </c>
      <c r="K292" s="3" t="n">
        <v>179</v>
      </c>
      <c r="L292" s="4" t="n">
        <v>0.15</v>
      </c>
      <c r="M292" s="3" t="n">
        <v>760.75</v>
      </c>
      <c r="N292" s="3" t="n">
        <v>1000</v>
      </c>
      <c r="O292" s="2" t="n">
        <v>45943</v>
      </c>
      <c r="P292" s="2" t="n">
        <v>45950</v>
      </c>
      <c r="Q292" t="inlineStr">
        <is>
          <t>Bank Transfer</t>
        </is>
      </c>
      <c r="R292" t="inlineStr">
        <is>
          <t>New</t>
        </is>
      </c>
      <c r="S292" t="n">
        <v>4</v>
      </c>
      <c r="T292" t="inlineStr">
        <is>
          <t>urgent</t>
        </is>
      </c>
    </row>
    <row r="293">
      <c r="A293" t="inlineStr">
        <is>
          <t>O0292</t>
        </is>
      </c>
      <c r="B293" s="2" t="n">
        <v>45956</v>
      </c>
      <c r="C293" t="inlineStr">
        <is>
          <t>West</t>
        </is>
      </c>
      <c r="D293" t="inlineStr">
        <is>
          <t>Washington</t>
        </is>
      </c>
      <c r="E293" t="inlineStr">
        <is>
          <t>John Smith</t>
        </is>
      </c>
      <c r="F293" t="inlineStr">
        <is>
          <t>PRIYA PATEL</t>
        </is>
      </c>
      <c r="G293" t="inlineStr">
        <is>
          <t>Accessory</t>
        </is>
      </c>
      <c r="H293" t="inlineStr">
        <is>
          <t>P110</t>
        </is>
      </c>
      <c r="I293" t="inlineStr">
        <is>
          <t>Keyboard</t>
        </is>
      </c>
      <c r="J293" t="n">
        <v>10</v>
      </c>
      <c r="K293" s="3" t="n">
        <v>59</v>
      </c>
      <c r="L293" s="4" t="n">
        <v>0</v>
      </c>
      <c r="M293" s="3" t="n">
        <v>590</v>
      </c>
      <c r="N293" s="3" t="n">
        <v>5000</v>
      </c>
      <c r="O293" s="2" t="n">
        <v>45957</v>
      </c>
      <c r="P293" s="2" t="n">
        <v>45958</v>
      </c>
      <c r="Q293" t="inlineStr">
        <is>
          <t>Cash</t>
        </is>
      </c>
      <c r="R293" t="inlineStr">
        <is>
          <t>Returning</t>
        </is>
      </c>
      <c r="S293" t="n">
        <v>3</v>
      </c>
      <c r="T293" t="inlineStr">
        <is>
          <t xml:space="preserve">  follow-up  </t>
        </is>
      </c>
    </row>
    <row r="294">
      <c r="A294" t="inlineStr">
        <is>
          <t>O0293</t>
        </is>
      </c>
      <c r="B294" s="2" t="n">
        <v>45900</v>
      </c>
      <c r="C294" t="inlineStr">
        <is>
          <t>South</t>
        </is>
      </c>
      <c r="D294" t="inlineStr">
        <is>
          <t>Texas</t>
        </is>
      </c>
      <c r="E294" t="inlineStr">
        <is>
          <t>John Smith</t>
        </is>
      </c>
      <c r="F294" t="inlineStr">
        <is>
          <t>John Smith</t>
        </is>
      </c>
      <c r="G294" t="inlineStr">
        <is>
          <t>Accessory</t>
        </is>
      </c>
      <c r="H294" t="inlineStr">
        <is>
          <t>P110</t>
        </is>
      </c>
      <c r="I294" t="inlineStr">
        <is>
          <t>Keyboard</t>
        </is>
      </c>
      <c r="J294" t="n">
        <v>5</v>
      </c>
      <c r="K294" s="3" t="n">
        <v>59</v>
      </c>
      <c r="L294" s="4" t="n">
        <v>0.1</v>
      </c>
      <c r="M294" s="3" t="n">
        <v>265.5</v>
      </c>
      <c r="N294" s="3" t="n">
        <v>500</v>
      </c>
      <c r="O294" s="2" t="n">
        <v>45901</v>
      </c>
      <c r="P294" s="2" t="n">
        <v>45903</v>
      </c>
      <c r="Q294" t="inlineStr">
        <is>
          <t>Bank Transfer</t>
        </is>
      </c>
      <c r="R294" t="inlineStr">
        <is>
          <t>New</t>
        </is>
      </c>
      <c r="S294" t="n">
        <v>4</v>
      </c>
      <c r="T294" t="inlineStr">
        <is>
          <t>ok</t>
        </is>
      </c>
    </row>
    <row r="295">
      <c r="A295" t="inlineStr">
        <is>
          <t>O0294</t>
        </is>
      </c>
      <c r="B295" s="2" t="n">
        <v>45901</v>
      </c>
      <c r="C295" t="inlineStr">
        <is>
          <t>West</t>
        </is>
      </c>
      <c r="D295" t="inlineStr">
        <is>
          <t>California</t>
        </is>
      </c>
      <c r="E295" t="inlineStr">
        <is>
          <t>Rahul Mehta</t>
        </is>
      </c>
      <c r="F295" t="inlineStr">
        <is>
          <t>PRIYA PATEL</t>
        </is>
      </c>
      <c r="G295" t="inlineStr">
        <is>
          <t>Accessory</t>
        </is>
      </c>
      <c r="H295" t="inlineStr">
        <is>
          <t>P112</t>
        </is>
      </c>
      <c r="I295" t="inlineStr">
        <is>
          <t>PowerBank</t>
        </is>
      </c>
      <c r="J295" t="n">
        <v>1</v>
      </c>
      <c r="K295" s="3" t="n">
        <v>49</v>
      </c>
      <c r="L295" s="4" t="n">
        <v>0.05</v>
      </c>
      <c r="M295" s="3" t="n">
        <v>46.55</v>
      </c>
      <c r="N295" s="3" t="n">
        <v>5000</v>
      </c>
      <c r="O295" s="2" t="n">
        <v>45904</v>
      </c>
      <c r="P295" s="2" t="n">
        <v>45907</v>
      </c>
      <c r="Q295" t="inlineStr">
        <is>
          <t>Cash</t>
        </is>
      </c>
      <c r="R295" t="inlineStr">
        <is>
          <t>Returning</t>
        </is>
      </c>
      <c r="S295" t="n">
        <v>1</v>
      </c>
      <c r="T295" t="inlineStr"/>
    </row>
    <row r="296">
      <c r="A296" t="inlineStr">
        <is>
          <t>O0295</t>
        </is>
      </c>
      <c r="B296" s="2" t="n">
        <v>45884</v>
      </c>
      <c r="C296" t="inlineStr">
        <is>
          <t>West</t>
        </is>
      </c>
      <c r="D296" t="inlineStr">
        <is>
          <t>California</t>
        </is>
      </c>
      <c r="E296" t="inlineStr">
        <is>
          <t>Amit Shah</t>
        </is>
      </c>
      <c r="F296" t="inlineStr">
        <is>
          <t>Sara Khan</t>
        </is>
      </c>
      <c r="G296" t="inlineStr">
        <is>
          <t>Tablet</t>
        </is>
      </c>
      <c r="H296" t="inlineStr">
        <is>
          <t>P105</t>
        </is>
      </c>
      <c r="I296" t="inlineStr">
        <is>
          <t>iPad Air</t>
        </is>
      </c>
      <c r="J296" t="n">
        <v>12</v>
      </c>
      <c r="K296" s="3" t="n">
        <v>599</v>
      </c>
      <c r="L296" s="4" t="n">
        <v>0.1</v>
      </c>
      <c r="M296" s="3" t="n">
        <v>6469.2</v>
      </c>
      <c r="N296" s="3" t="n">
        <v>1500</v>
      </c>
      <c r="O296" s="2" t="n">
        <v>45887</v>
      </c>
      <c r="P296" s="2" t="n">
        <v>45890</v>
      </c>
      <c r="Q296" t="inlineStr">
        <is>
          <t>UPI</t>
        </is>
      </c>
      <c r="R296" t="inlineStr">
        <is>
          <t>Returning</t>
        </is>
      </c>
      <c r="S296" t="n">
        <v>2</v>
      </c>
      <c r="T296" t="inlineStr"/>
    </row>
    <row r="297">
      <c r="A297" t="inlineStr">
        <is>
          <t>O0296</t>
        </is>
      </c>
      <c r="B297" s="2" t="n">
        <v>45922</v>
      </c>
      <c r="C297" t="inlineStr">
        <is>
          <t>South</t>
        </is>
      </c>
      <c r="D297" t="inlineStr">
        <is>
          <t>Texas</t>
        </is>
      </c>
      <c r="E297" t="inlineStr">
        <is>
          <t>Amit Shah</t>
        </is>
      </c>
      <c r="F297" t="inlineStr">
        <is>
          <t xml:space="preserve">rAhUl shAh </t>
        </is>
      </c>
      <c r="G297" t="inlineStr">
        <is>
          <t>Audio</t>
        </is>
      </c>
      <c r="H297" t="inlineStr">
        <is>
          <t>P108</t>
        </is>
      </c>
      <c r="I297" t="inlineStr">
        <is>
          <t>Buds Pro</t>
        </is>
      </c>
      <c r="J297" t="n">
        <v>1</v>
      </c>
      <c r="K297" s="3" t="n">
        <v>129</v>
      </c>
      <c r="L297" s="4" t="n">
        <v>0.15</v>
      </c>
      <c r="M297" s="3" t="n">
        <v>109.65</v>
      </c>
      <c r="N297" s="3" t="n">
        <v>5000</v>
      </c>
      <c r="O297" s="2" t="n">
        <v>45925</v>
      </c>
      <c r="P297" s="2" t="n">
        <v>45932</v>
      </c>
      <c r="Q297" t="inlineStr">
        <is>
          <t>Cash</t>
        </is>
      </c>
      <c r="R297" t="inlineStr">
        <is>
          <t>Corporate</t>
        </is>
      </c>
      <c r="S297" t="n">
        <v>5</v>
      </c>
      <c r="T297" t="inlineStr">
        <is>
          <t xml:space="preserve">  follow-up  </t>
        </is>
      </c>
    </row>
    <row r="298">
      <c r="A298" t="inlineStr">
        <is>
          <t>O0297</t>
        </is>
      </c>
      <c r="B298" s="2" t="n">
        <v>45672</v>
      </c>
      <c r="C298" t="inlineStr">
        <is>
          <t>West</t>
        </is>
      </c>
      <c r="D298" t="inlineStr">
        <is>
          <t>Washington</t>
        </is>
      </c>
      <c r="E298" t="inlineStr">
        <is>
          <t>Priya Patel</t>
        </is>
      </c>
      <c r="F298" t="inlineStr">
        <is>
          <t xml:space="preserve"> Rahul Shah </t>
        </is>
      </c>
      <c r="G298" t="inlineStr">
        <is>
          <t>Accessory</t>
        </is>
      </c>
      <c r="H298" t="inlineStr">
        <is>
          <t>P110</t>
        </is>
      </c>
      <c r="I298" t="inlineStr">
        <is>
          <t>Keyboard</t>
        </is>
      </c>
      <c r="J298" t="n">
        <v>15</v>
      </c>
      <c r="K298" s="3" t="n">
        <v>59</v>
      </c>
      <c r="L298" s="4" t="n">
        <v>0.02</v>
      </c>
      <c r="M298" s="3" t="n">
        <v>867.3</v>
      </c>
      <c r="N298" s="3" t="n">
        <v>5000</v>
      </c>
      <c r="O298" s="2" t="n">
        <v>45674</v>
      </c>
      <c r="P298" s="2" t="n">
        <v>45676</v>
      </c>
      <c r="Q298" t="inlineStr">
        <is>
          <t>Credit Card</t>
        </is>
      </c>
      <c r="R298" t="inlineStr">
        <is>
          <t>Returning</t>
        </is>
      </c>
      <c r="S298" t="n">
        <v>1</v>
      </c>
      <c r="T298" t="inlineStr">
        <is>
          <t>ok</t>
        </is>
      </c>
    </row>
    <row r="299">
      <c r="A299" t="inlineStr">
        <is>
          <t>O0298</t>
        </is>
      </c>
      <c r="B299" s="2" t="n">
        <v>45895</v>
      </c>
      <c r="C299" t="inlineStr">
        <is>
          <t>West</t>
        </is>
      </c>
      <c r="D299" t="inlineStr">
        <is>
          <t>Texas</t>
        </is>
      </c>
      <c r="E299" t="inlineStr">
        <is>
          <t>Priya Patel</t>
        </is>
      </c>
      <c r="F299" t="inlineStr">
        <is>
          <t xml:space="preserve"> Rahul Shah </t>
        </is>
      </c>
      <c r="G299" t="inlineStr">
        <is>
          <t>Tablet</t>
        </is>
      </c>
      <c r="H299" t="inlineStr">
        <is>
          <t>P106</t>
        </is>
      </c>
      <c r="I299" t="inlineStr">
        <is>
          <t>Galaxy Tab</t>
        </is>
      </c>
      <c r="J299" t="n">
        <v>11</v>
      </c>
      <c r="K299" s="3" t="n">
        <v>499</v>
      </c>
      <c r="L299" s="4" t="n">
        <v>0</v>
      </c>
      <c r="M299" s="3" t="n">
        <v>5489</v>
      </c>
      <c r="N299" s="3" t="n">
        <v>2500</v>
      </c>
      <c r="O299" s="2" t="n">
        <v>45900</v>
      </c>
      <c r="P299" s="2" t="n">
        <v>45904</v>
      </c>
      <c r="Q299" t="inlineStr">
        <is>
          <t>Cash</t>
        </is>
      </c>
      <c r="R299" t="inlineStr">
        <is>
          <t>Returning</t>
        </is>
      </c>
      <c r="S299" t="n">
        <v>5</v>
      </c>
      <c r="T299" t="inlineStr">
        <is>
          <t xml:space="preserve">  follow-up  </t>
        </is>
      </c>
    </row>
    <row r="300">
      <c r="A300" t="inlineStr">
        <is>
          <t>O0299</t>
        </is>
      </c>
      <c r="B300" s="2" t="n">
        <v>45940</v>
      </c>
      <c r="C300" t="inlineStr">
        <is>
          <t>West</t>
        </is>
      </c>
      <c r="D300" t="inlineStr">
        <is>
          <t>Texas</t>
        </is>
      </c>
      <c r="E300" t="inlineStr">
        <is>
          <t>Amit Shah</t>
        </is>
      </c>
      <c r="F300" t="inlineStr">
        <is>
          <t>Sara Khan</t>
        </is>
      </c>
      <c r="G300" t="inlineStr">
        <is>
          <t>Accessory</t>
        </is>
      </c>
      <c r="H300" t="inlineStr">
        <is>
          <t>P110</t>
        </is>
      </c>
      <c r="I300" t="inlineStr">
        <is>
          <t>Keyboard</t>
        </is>
      </c>
      <c r="J300" t="n">
        <v>3</v>
      </c>
      <c r="K300" s="3" t="n">
        <v>59</v>
      </c>
      <c r="L300" s="4" t="n">
        <v>0.05</v>
      </c>
      <c r="M300" s="3" t="n">
        <v>168.15</v>
      </c>
      <c r="N300" s="3" t="n">
        <v>2500</v>
      </c>
      <c r="O300" s="2" t="n">
        <v>45943</v>
      </c>
      <c r="P300" s="2" t="n">
        <v>45946</v>
      </c>
      <c r="Q300" t="inlineStr">
        <is>
          <t>Cash</t>
        </is>
      </c>
      <c r="R300" t="inlineStr">
        <is>
          <t>New</t>
        </is>
      </c>
      <c r="S300" t="n">
        <v>4</v>
      </c>
      <c r="T300" t="inlineStr">
        <is>
          <t xml:space="preserve"> normal </t>
        </is>
      </c>
    </row>
    <row r="301">
      <c r="A301" t="inlineStr">
        <is>
          <t>O0300</t>
        </is>
      </c>
      <c r="B301" s="2" t="n">
        <v>45771</v>
      </c>
      <c r="C301" t="inlineStr">
        <is>
          <t>West</t>
        </is>
      </c>
      <c r="D301" t="inlineStr">
        <is>
          <t>Washington</t>
        </is>
      </c>
      <c r="E301" t="inlineStr">
        <is>
          <t>John Smith</t>
        </is>
      </c>
      <c r="F301" t="inlineStr">
        <is>
          <t xml:space="preserve"> Neha  Joshi </t>
        </is>
      </c>
      <c r="G301" t="inlineStr">
        <is>
          <t>Laptop</t>
        </is>
      </c>
      <c r="H301" t="inlineStr">
        <is>
          <t>P104</t>
        </is>
      </c>
      <c r="I301" t="inlineStr">
        <is>
          <t>Inspiron 15</t>
        </is>
      </c>
      <c r="J301" t="n">
        <v>4</v>
      </c>
      <c r="K301" s="3" t="n">
        <v>749</v>
      </c>
      <c r="L301" s="4" t="n">
        <v>0.05</v>
      </c>
      <c r="M301" s="3" t="n">
        <v>2846.2</v>
      </c>
      <c r="N301" s="3" t="n">
        <v>2500</v>
      </c>
      <c r="O301" s="2" t="n">
        <v>45773</v>
      </c>
      <c r="P301" s="2" t="n">
        <v>45779</v>
      </c>
      <c r="Q301" t="inlineStr">
        <is>
          <t>Credit Card</t>
        </is>
      </c>
      <c r="R301" t="inlineStr">
        <is>
          <t>Corporate</t>
        </is>
      </c>
      <c r="S301" t="n">
        <v>1</v>
      </c>
      <c r="T301" t="inlineStr">
        <is>
          <t xml:space="preserve">  follow-up  </t>
        </is>
      </c>
    </row>
    <row r="302">
      <c r="A302" t="inlineStr">
        <is>
          <t>O0301</t>
        </is>
      </c>
      <c r="B302" s="2" t="n">
        <v>45965</v>
      </c>
      <c r="C302" t="inlineStr">
        <is>
          <t>West</t>
        </is>
      </c>
      <c r="D302" t="inlineStr">
        <is>
          <t>Washington</t>
        </is>
      </c>
      <c r="E302" t="inlineStr">
        <is>
          <t>Sara Khan</t>
        </is>
      </c>
      <c r="F302" t="inlineStr">
        <is>
          <t>PRIYA PATEL</t>
        </is>
      </c>
      <c r="G302" t="inlineStr">
        <is>
          <t>Laptop</t>
        </is>
      </c>
      <c r="H302" t="inlineStr">
        <is>
          <t>P103</t>
        </is>
      </c>
      <c r="I302" t="inlineStr">
        <is>
          <t>ThinkPad E14</t>
        </is>
      </c>
      <c r="J302" t="n">
        <v>5</v>
      </c>
      <c r="K302" s="3" t="n">
        <v>899</v>
      </c>
      <c r="L302" s="4" t="n">
        <v>0.15</v>
      </c>
      <c r="M302" s="3" t="n">
        <v>3820.75</v>
      </c>
      <c r="N302" s="3" t="n">
        <v>5000</v>
      </c>
      <c r="O302" s="2" t="n">
        <v>45966</v>
      </c>
      <c r="P302" s="2" t="n">
        <v>45968</v>
      </c>
      <c r="Q302" t="inlineStr">
        <is>
          <t>Cash</t>
        </is>
      </c>
      <c r="R302" t="inlineStr">
        <is>
          <t>Returning</t>
        </is>
      </c>
      <c r="S302" t="n">
        <v>4</v>
      </c>
      <c r="T302" t="inlineStr"/>
    </row>
    <row r="303">
      <c r="A303" t="inlineStr">
        <is>
          <t>O0302</t>
        </is>
      </c>
      <c r="B303" s="2" t="n">
        <v>45769</v>
      </c>
      <c r="C303" t="inlineStr">
        <is>
          <t>North</t>
        </is>
      </c>
      <c r="D303" t="inlineStr">
        <is>
          <t>Michigan</t>
        </is>
      </c>
      <c r="E303" t="inlineStr">
        <is>
          <t>Neha Joshi</t>
        </is>
      </c>
      <c r="F303" t="inlineStr">
        <is>
          <t>John Smith</t>
        </is>
      </c>
      <c r="G303" t="inlineStr">
        <is>
          <t>Tablet</t>
        </is>
      </c>
      <c r="H303" t="inlineStr">
        <is>
          <t>P105</t>
        </is>
      </c>
      <c r="I303" t="inlineStr">
        <is>
          <t>iPad Air</t>
        </is>
      </c>
      <c r="J303" t="n">
        <v>11</v>
      </c>
      <c r="K303" s="3" t="n">
        <v>599</v>
      </c>
      <c r="L303" s="4" t="n">
        <v>0.15</v>
      </c>
      <c r="M303" s="3" t="n">
        <v>5600.65</v>
      </c>
      <c r="N303" s="3" t="n">
        <v>5000</v>
      </c>
      <c r="O303" s="2" t="n">
        <v>45773</v>
      </c>
      <c r="P303" s="2" t="n">
        <v>45776</v>
      </c>
      <c r="Q303" t="inlineStr">
        <is>
          <t>Credit Card</t>
        </is>
      </c>
      <c r="R303" t="inlineStr">
        <is>
          <t>New</t>
        </is>
      </c>
      <c r="S303" t="n">
        <v>5</v>
      </c>
      <c r="T303" t="inlineStr">
        <is>
          <t>refund pending</t>
        </is>
      </c>
    </row>
    <row r="304">
      <c r="A304" t="inlineStr">
        <is>
          <t>O0303</t>
        </is>
      </c>
      <c r="B304" s="2" t="n">
        <v>45962</v>
      </c>
      <c r="C304" t="inlineStr">
        <is>
          <t>North</t>
        </is>
      </c>
      <c r="D304" t="inlineStr">
        <is>
          <t>Minnesota</t>
        </is>
      </c>
      <c r="E304" t="inlineStr">
        <is>
          <t>Rahul Mehta</t>
        </is>
      </c>
      <c r="F304" t="inlineStr">
        <is>
          <t xml:space="preserve"> Rahul Shah </t>
        </is>
      </c>
      <c r="G304" t="inlineStr">
        <is>
          <t>Accessory</t>
        </is>
      </c>
      <c r="H304" t="inlineStr">
        <is>
          <t>P111</t>
        </is>
      </c>
      <c r="I304" t="inlineStr">
        <is>
          <t>Mouse</t>
        </is>
      </c>
      <c r="J304" t="n">
        <v>5</v>
      </c>
      <c r="K304" s="3" t="n">
        <v>39</v>
      </c>
      <c r="L304" s="4" t="n">
        <v>0</v>
      </c>
      <c r="M304" s="3" t="n">
        <v>195</v>
      </c>
      <c r="N304" s="3" t="n">
        <v>1000</v>
      </c>
      <c r="O304" s="2" t="n">
        <v>45967</v>
      </c>
      <c r="P304" s="2" t="n">
        <v>45970</v>
      </c>
      <c r="Q304" t="inlineStr">
        <is>
          <t>Cash</t>
        </is>
      </c>
      <c r="R304" t="inlineStr">
        <is>
          <t>Corporate</t>
        </is>
      </c>
      <c r="S304" t="n">
        <v>3</v>
      </c>
      <c r="T304" t="inlineStr"/>
    </row>
    <row r="305">
      <c r="A305" t="inlineStr">
        <is>
          <t>O0304</t>
        </is>
      </c>
      <c r="B305" s="2" t="n">
        <v>46022</v>
      </c>
      <c r="C305" t="inlineStr">
        <is>
          <t>North</t>
        </is>
      </c>
      <c r="D305" t="inlineStr">
        <is>
          <t>Michigan</t>
        </is>
      </c>
      <c r="E305" t="inlineStr">
        <is>
          <t>Amit Shah</t>
        </is>
      </c>
      <c r="F305" t="inlineStr">
        <is>
          <t>rAhUl shAh</t>
        </is>
      </c>
      <c r="G305" t="inlineStr">
        <is>
          <t>Accessory</t>
        </is>
      </c>
      <c r="H305" t="inlineStr">
        <is>
          <t>P111</t>
        </is>
      </c>
      <c r="I305" t="inlineStr">
        <is>
          <t>Mouse</t>
        </is>
      </c>
      <c r="J305" t="n">
        <v>3</v>
      </c>
      <c r="K305" s="3" t="n">
        <v>39</v>
      </c>
      <c r="L305" s="4" t="n">
        <v>0.15</v>
      </c>
      <c r="M305" s="3" t="n">
        <v>99.45</v>
      </c>
      <c r="N305" s="3" t="n">
        <v>5000</v>
      </c>
      <c r="O305" s="2" t="n">
        <v>46025</v>
      </c>
      <c r="P305" s="2" t="n">
        <v>46027</v>
      </c>
      <c r="Q305" t="inlineStr">
        <is>
          <t>Bank Transfer</t>
        </is>
      </c>
      <c r="R305" t="inlineStr">
        <is>
          <t>Corporate</t>
        </is>
      </c>
      <c r="S305" t="n">
        <v>3</v>
      </c>
      <c r="T305" t="inlineStr">
        <is>
          <t>refund pending</t>
        </is>
      </c>
    </row>
    <row r="306">
      <c r="A306" t="inlineStr">
        <is>
          <t>O0305</t>
        </is>
      </c>
      <c r="B306" s="2" t="n">
        <v>45993</v>
      </c>
      <c r="C306" t="inlineStr">
        <is>
          <t>West</t>
        </is>
      </c>
      <c r="D306" t="inlineStr">
        <is>
          <t>Washington</t>
        </is>
      </c>
      <c r="E306" t="inlineStr">
        <is>
          <t>Sara Khan</t>
        </is>
      </c>
      <c r="F306" t="inlineStr">
        <is>
          <t xml:space="preserve"> Neha  Joshi </t>
        </is>
      </c>
      <c r="G306" t="inlineStr">
        <is>
          <t>Mobile</t>
        </is>
      </c>
      <c r="H306" t="inlineStr">
        <is>
          <t>P101</t>
        </is>
      </c>
      <c r="I306" t="inlineStr">
        <is>
          <t>iPhone 15</t>
        </is>
      </c>
      <c r="J306" t="n">
        <v>5</v>
      </c>
      <c r="K306" s="3" t="n">
        <v>699</v>
      </c>
      <c r="L306" s="4" t="n">
        <v>0.1</v>
      </c>
      <c r="M306" s="3" t="n">
        <v>3145.5</v>
      </c>
      <c r="N306" s="3" t="n">
        <v>1000</v>
      </c>
      <c r="O306" s="2" t="n">
        <v>45997</v>
      </c>
      <c r="P306" s="2" t="n">
        <v>46000</v>
      </c>
      <c r="Q306" t="inlineStr">
        <is>
          <t>Credit Card</t>
        </is>
      </c>
      <c r="R306" t="inlineStr">
        <is>
          <t>Corporate</t>
        </is>
      </c>
      <c r="S306" t="n">
        <v>5</v>
      </c>
      <c r="T306" t="inlineStr"/>
    </row>
    <row r="307">
      <c r="A307" t="inlineStr">
        <is>
          <t>O0306</t>
        </is>
      </c>
      <c r="B307" s="2" t="n">
        <v>45771</v>
      </c>
      <c r="C307" t="inlineStr">
        <is>
          <t>West</t>
        </is>
      </c>
      <c r="D307" t="inlineStr">
        <is>
          <t>Texas</t>
        </is>
      </c>
      <c r="E307" t="inlineStr">
        <is>
          <t>John Smith</t>
        </is>
      </c>
      <c r="F307" t="inlineStr">
        <is>
          <t>PRIYA PATEL</t>
        </is>
      </c>
      <c r="G307" t="inlineStr">
        <is>
          <t>Accessory</t>
        </is>
      </c>
      <c r="H307" t="inlineStr">
        <is>
          <t>P112</t>
        </is>
      </c>
      <c r="I307" t="inlineStr">
        <is>
          <t>PowerBank</t>
        </is>
      </c>
      <c r="J307" t="n">
        <v>13</v>
      </c>
      <c r="K307" s="3" t="n">
        <v>49</v>
      </c>
      <c r="L307" s="4" t="n">
        <v>0.1</v>
      </c>
      <c r="M307" s="3" t="n">
        <v>573.3</v>
      </c>
      <c r="N307" s="3" t="n">
        <v>2500</v>
      </c>
      <c r="O307" s="2" t="n">
        <v>45776</v>
      </c>
      <c r="P307" s="2" t="n">
        <v>45782</v>
      </c>
      <c r="Q307" t="inlineStr">
        <is>
          <t>Cash</t>
        </is>
      </c>
      <c r="R307" t="inlineStr">
        <is>
          <t>New</t>
        </is>
      </c>
      <c r="S307" t="n">
        <v>5</v>
      </c>
      <c r="T307" t="inlineStr">
        <is>
          <t>urgent</t>
        </is>
      </c>
    </row>
    <row r="308">
      <c r="A308" t="inlineStr">
        <is>
          <t>O0307</t>
        </is>
      </c>
      <c r="B308" s="2" t="n">
        <v>45723</v>
      </c>
      <c r="C308" t="inlineStr">
        <is>
          <t>North</t>
        </is>
      </c>
      <c r="D308" t="inlineStr">
        <is>
          <t>Illinois</t>
        </is>
      </c>
      <c r="E308" t="inlineStr">
        <is>
          <t>Sara Khan</t>
        </is>
      </c>
      <c r="F308" t="inlineStr">
        <is>
          <t>rAhUl shAh</t>
        </is>
      </c>
      <c r="G308" t="inlineStr">
        <is>
          <t>Audio</t>
        </is>
      </c>
      <c r="H308" t="inlineStr">
        <is>
          <t>P108</t>
        </is>
      </c>
      <c r="I308" t="inlineStr">
        <is>
          <t>Buds Pro</t>
        </is>
      </c>
      <c r="J308" t="n">
        <v>13</v>
      </c>
      <c r="K308" s="3" t="n">
        <v>129</v>
      </c>
      <c r="L308" s="4" t="n">
        <v>0.15</v>
      </c>
      <c r="M308" s="3" t="n">
        <v>1425.45</v>
      </c>
      <c r="N308" s="3" t="n">
        <v>5000</v>
      </c>
      <c r="O308" s="2" t="n">
        <v>45726</v>
      </c>
      <c r="P308" s="2" t="n">
        <v>45732</v>
      </c>
      <c r="Q308" t="inlineStr">
        <is>
          <t>Cash</t>
        </is>
      </c>
      <c r="R308" t="inlineStr">
        <is>
          <t>Corporate</t>
        </is>
      </c>
      <c r="S308" t="n">
        <v>1</v>
      </c>
      <c r="T308" t="inlineStr">
        <is>
          <t>urgent</t>
        </is>
      </c>
    </row>
    <row r="309">
      <c r="A309" t="inlineStr">
        <is>
          <t>O0308</t>
        </is>
      </c>
      <c r="B309" s="2" t="n">
        <v>45815</v>
      </c>
      <c r="C309" t="inlineStr">
        <is>
          <t>North</t>
        </is>
      </c>
      <c r="D309" t="inlineStr">
        <is>
          <t>Illinois</t>
        </is>
      </c>
      <c r="E309" t="inlineStr">
        <is>
          <t>John Smith</t>
        </is>
      </c>
      <c r="F309" t="inlineStr">
        <is>
          <t>PRIYA PATEL</t>
        </is>
      </c>
      <c r="G309" t="inlineStr">
        <is>
          <t>Accessory</t>
        </is>
      </c>
      <c r="H309" t="inlineStr">
        <is>
          <t>P112</t>
        </is>
      </c>
      <c r="I309" t="inlineStr">
        <is>
          <t>PowerBank</t>
        </is>
      </c>
      <c r="J309" t="n">
        <v>15</v>
      </c>
      <c r="K309" s="3" t="n">
        <v>49</v>
      </c>
      <c r="L309" s="4" t="n">
        <v>0.05</v>
      </c>
      <c r="M309" s="3" t="n">
        <v>698.25</v>
      </c>
      <c r="N309" s="3" t="n">
        <v>750</v>
      </c>
      <c r="O309" s="2" t="n">
        <v>45819</v>
      </c>
      <c r="P309" s="2" t="n">
        <v>45826</v>
      </c>
      <c r="Q309" t="inlineStr">
        <is>
          <t>Cash</t>
        </is>
      </c>
      <c r="R309" t="inlineStr">
        <is>
          <t>Returning</t>
        </is>
      </c>
      <c r="S309" t="n">
        <v>1</v>
      </c>
      <c r="T309" t="inlineStr">
        <is>
          <t xml:space="preserve">  follow-up  </t>
        </is>
      </c>
    </row>
    <row r="310">
      <c r="A310" t="inlineStr">
        <is>
          <t>O0309</t>
        </is>
      </c>
      <c r="B310" s="2" t="n">
        <v>45955</v>
      </c>
      <c r="C310" t="inlineStr">
        <is>
          <t>East</t>
        </is>
      </c>
      <c r="D310" t="inlineStr">
        <is>
          <t>New Jersey</t>
        </is>
      </c>
      <c r="E310" t="inlineStr">
        <is>
          <t>Sara Khan</t>
        </is>
      </c>
      <c r="F310" t="inlineStr">
        <is>
          <t xml:space="preserve"> Rahul Shah </t>
        </is>
      </c>
      <c r="G310" t="inlineStr">
        <is>
          <t>Accessory</t>
        </is>
      </c>
      <c r="H310" t="inlineStr">
        <is>
          <t>P110</t>
        </is>
      </c>
      <c r="I310" t="inlineStr">
        <is>
          <t>Keyboard</t>
        </is>
      </c>
      <c r="J310" t="n">
        <v>8</v>
      </c>
      <c r="K310" s="3" t="n">
        <v>59</v>
      </c>
      <c r="L310" s="4" t="n">
        <v>0.02</v>
      </c>
      <c r="M310" s="3" t="n">
        <v>462.56</v>
      </c>
      <c r="N310" s="3" t="n">
        <v>1500</v>
      </c>
      <c r="O310" s="2" t="n">
        <v>45960</v>
      </c>
      <c r="P310" s="2" t="n">
        <v>45961</v>
      </c>
      <c r="Q310" t="inlineStr">
        <is>
          <t>Bank Transfer</t>
        </is>
      </c>
      <c r="R310" t="inlineStr">
        <is>
          <t>Corporate</t>
        </is>
      </c>
      <c r="S310" t="n">
        <v>3</v>
      </c>
      <c r="T310" t="inlineStr">
        <is>
          <t xml:space="preserve">  follow-up  </t>
        </is>
      </c>
    </row>
    <row r="311">
      <c r="A311" t="inlineStr">
        <is>
          <t>O0310</t>
        </is>
      </c>
      <c r="B311" s="2" t="n">
        <v>45760</v>
      </c>
      <c r="C311" t="inlineStr">
        <is>
          <t>East</t>
        </is>
      </c>
      <c r="D311" t="inlineStr">
        <is>
          <t>New York</t>
        </is>
      </c>
      <c r="E311" t="inlineStr">
        <is>
          <t>Sara Khan</t>
        </is>
      </c>
      <c r="F311" t="inlineStr">
        <is>
          <t>PRIYA PATEL</t>
        </is>
      </c>
      <c r="G311" t="inlineStr">
        <is>
          <t>Laptop</t>
        </is>
      </c>
      <c r="H311" t="inlineStr">
        <is>
          <t>P103</t>
        </is>
      </c>
      <c r="I311" t="inlineStr">
        <is>
          <t>ThinkPad E14</t>
        </is>
      </c>
      <c r="J311" t="n">
        <v>10</v>
      </c>
      <c r="K311" s="3" t="n">
        <v>899</v>
      </c>
      <c r="L311" s="4" t="n">
        <v>0.1</v>
      </c>
      <c r="M311" s="3" t="n">
        <v>8091</v>
      </c>
      <c r="N311" s="3" t="n">
        <v>500</v>
      </c>
      <c r="O311" s="2" t="n">
        <v>45763</v>
      </c>
      <c r="P311" s="2" t="n">
        <v>45767</v>
      </c>
      <c r="Q311" t="inlineStr">
        <is>
          <t>UPI</t>
        </is>
      </c>
      <c r="R311" t="inlineStr">
        <is>
          <t>New</t>
        </is>
      </c>
      <c r="S311" t="n">
        <v>4</v>
      </c>
      <c r="T311" t="inlineStr">
        <is>
          <t>ok</t>
        </is>
      </c>
    </row>
    <row r="312">
      <c r="A312" t="inlineStr">
        <is>
          <t>O0311</t>
        </is>
      </c>
      <c r="B312" s="2" t="n">
        <v>45687</v>
      </c>
      <c r="C312" t="inlineStr">
        <is>
          <t>West</t>
        </is>
      </c>
      <c r="D312" t="inlineStr">
        <is>
          <t>Texas</t>
        </is>
      </c>
      <c r="E312" t="inlineStr">
        <is>
          <t>John Smith</t>
        </is>
      </c>
      <c r="F312" t="inlineStr">
        <is>
          <t>rAhUl shAh</t>
        </is>
      </c>
      <c r="G312" t="inlineStr">
        <is>
          <t>Accessory</t>
        </is>
      </c>
      <c r="H312" t="inlineStr">
        <is>
          <t>P111</t>
        </is>
      </c>
      <c r="I312" t="inlineStr">
        <is>
          <t>Mouse</t>
        </is>
      </c>
      <c r="J312" t="n">
        <v>5</v>
      </c>
      <c r="K312" s="3" t="n">
        <v>39</v>
      </c>
      <c r="L312" s="4" t="n">
        <v>0.02</v>
      </c>
      <c r="M312" s="3" t="n">
        <v>191.1</v>
      </c>
      <c r="N312" s="3" t="n">
        <v>5000</v>
      </c>
      <c r="O312" s="2" t="n">
        <v>45688</v>
      </c>
      <c r="P312" s="2" t="n">
        <v>45692</v>
      </c>
      <c r="Q312" t="inlineStr">
        <is>
          <t>UPI</t>
        </is>
      </c>
      <c r="R312" t="inlineStr">
        <is>
          <t>Returning</t>
        </is>
      </c>
      <c r="S312" t="n">
        <v>1</v>
      </c>
      <c r="T312" t="inlineStr">
        <is>
          <t>urgent</t>
        </is>
      </c>
    </row>
    <row r="313">
      <c r="A313" t="inlineStr">
        <is>
          <t>O0312</t>
        </is>
      </c>
      <c r="B313" s="2" t="n">
        <v>45864</v>
      </c>
      <c r="C313" t="inlineStr">
        <is>
          <t>South</t>
        </is>
      </c>
      <c r="D313" t="inlineStr">
        <is>
          <t>Texas</t>
        </is>
      </c>
      <c r="E313" t="inlineStr">
        <is>
          <t>Priya Patel</t>
        </is>
      </c>
      <c r="F313" t="inlineStr">
        <is>
          <t>John Smith</t>
        </is>
      </c>
      <c r="G313" t="inlineStr">
        <is>
          <t>Audio</t>
        </is>
      </c>
      <c r="H313" t="inlineStr">
        <is>
          <t>P107</t>
        </is>
      </c>
      <c r="I313" t="inlineStr">
        <is>
          <t>AirPods</t>
        </is>
      </c>
      <c r="J313" t="n">
        <v>7</v>
      </c>
      <c r="K313" s="3" t="n">
        <v>179</v>
      </c>
      <c r="L313" s="4" t="n">
        <v>0</v>
      </c>
      <c r="M313" s="3" t="n">
        <v>1253</v>
      </c>
      <c r="N313" s="3" t="n">
        <v>300</v>
      </c>
      <c r="O313" s="2" t="n">
        <v>45868</v>
      </c>
      <c r="P313" s="2" t="n">
        <v>45872</v>
      </c>
      <c r="Q313" t="inlineStr">
        <is>
          <t>Cash</t>
        </is>
      </c>
      <c r="R313" t="inlineStr">
        <is>
          <t>New</t>
        </is>
      </c>
      <c r="S313" t="n">
        <v>3</v>
      </c>
      <c r="T313" t="inlineStr"/>
    </row>
    <row r="314">
      <c r="A314" t="inlineStr">
        <is>
          <t>O0313</t>
        </is>
      </c>
      <c r="B314" s="2" t="n">
        <v>45660</v>
      </c>
      <c r="C314" t="inlineStr">
        <is>
          <t>West</t>
        </is>
      </c>
      <c r="D314" t="inlineStr">
        <is>
          <t>California</t>
        </is>
      </c>
      <c r="E314" t="inlineStr">
        <is>
          <t>Amit Shah</t>
        </is>
      </c>
      <c r="F314" t="inlineStr">
        <is>
          <t>rAhUl shAh</t>
        </is>
      </c>
      <c r="G314" t="inlineStr">
        <is>
          <t>Accessory</t>
        </is>
      </c>
      <c r="H314" t="inlineStr">
        <is>
          <t>P111</t>
        </is>
      </c>
      <c r="I314" t="inlineStr">
        <is>
          <t>Mouse</t>
        </is>
      </c>
      <c r="J314" t="n">
        <v>12</v>
      </c>
      <c r="K314" s="3" t="n">
        <v>39</v>
      </c>
      <c r="L314" s="4" t="n">
        <v>0.05</v>
      </c>
      <c r="M314" s="3" t="n">
        <v>444.6</v>
      </c>
      <c r="N314" s="3" t="n">
        <v>750</v>
      </c>
      <c r="O314" s="2" t="n">
        <v>45662</v>
      </c>
      <c r="P314" s="2" t="n">
        <v>45664</v>
      </c>
      <c r="Q314" t="inlineStr">
        <is>
          <t>Bank Transfer</t>
        </is>
      </c>
      <c r="R314" t="inlineStr">
        <is>
          <t>Corporate</t>
        </is>
      </c>
      <c r="S314" t="n">
        <v>5</v>
      </c>
      <c r="T314" t="inlineStr">
        <is>
          <t>ok</t>
        </is>
      </c>
    </row>
    <row r="315">
      <c r="A315" t="inlineStr">
        <is>
          <t>O0314</t>
        </is>
      </c>
      <c r="B315" s="2" t="n">
        <v>45810</v>
      </c>
      <c r="C315" t="inlineStr">
        <is>
          <t>West</t>
        </is>
      </c>
      <c r="D315" t="inlineStr">
        <is>
          <t>California</t>
        </is>
      </c>
      <c r="E315" t="inlineStr">
        <is>
          <t>Rahul Mehta</t>
        </is>
      </c>
      <c r="F315" t="inlineStr">
        <is>
          <t>John Smith</t>
        </is>
      </c>
      <c r="G315" t="inlineStr">
        <is>
          <t>Mobile</t>
        </is>
      </c>
      <c r="H315" t="inlineStr">
        <is>
          <t>P101</t>
        </is>
      </c>
      <c r="I315" t="inlineStr">
        <is>
          <t>iPhone 15</t>
        </is>
      </c>
      <c r="J315" t="n">
        <v>12</v>
      </c>
      <c r="K315" s="3" t="n">
        <v>699</v>
      </c>
      <c r="L315" s="4" t="n">
        <v>0.15</v>
      </c>
      <c r="M315" s="3" t="n">
        <v>7129.8</v>
      </c>
      <c r="N315" s="3" t="n">
        <v>1500</v>
      </c>
      <c r="O315" s="2" t="n">
        <v>45813</v>
      </c>
      <c r="P315" s="2" t="n">
        <v>45817</v>
      </c>
      <c r="Q315" t="inlineStr">
        <is>
          <t>Bank Transfer</t>
        </is>
      </c>
      <c r="R315" t="inlineStr">
        <is>
          <t>Corporate</t>
        </is>
      </c>
      <c r="S315" t="n">
        <v>2</v>
      </c>
      <c r="T315" t="inlineStr">
        <is>
          <t>ok</t>
        </is>
      </c>
    </row>
    <row r="316">
      <c r="A316" t="inlineStr">
        <is>
          <t>O0315</t>
        </is>
      </c>
      <c r="B316" s="2" t="n">
        <v>45742</v>
      </c>
      <c r="C316" t="inlineStr">
        <is>
          <t>South</t>
        </is>
      </c>
      <c r="D316" t="inlineStr">
        <is>
          <t>Georgia</t>
        </is>
      </c>
      <c r="E316" t="inlineStr">
        <is>
          <t>Priya Patel</t>
        </is>
      </c>
      <c r="F316" t="inlineStr">
        <is>
          <t>rAhUl shAh</t>
        </is>
      </c>
      <c r="G316" t="inlineStr">
        <is>
          <t>Laptop</t>
        </is>
      </c>
      <c r="H316" t="inlineStr">
        <is>
          <t>P104</t>
        </is>
      </c>
      <c r="I316" t="inlineStr">
        <is>
          <t>Inspiron 15</t>
        </is>
      </c>
      <c r="J316" t="n">
        <v>4</v>
      </c>
      <c r="K316" s="3" t="n">
        <v>749</v>
      </c>
      <c r="L316" s="4" t="n">
        <v>0.02</v>
      </c>
      <c r="M316" s="3" t="n">
        <v>2936.08</v>
      </c>
      <c r="N316" s="3" t="n">
        <v>2500</v>
      </c>
      <c r="O316" s="2" t="n">
        <v>45746</v>
      </c>
      <c r="P316" s="2" t="n">
        <v>45747</v>
      </c>
      <c r="Q316" t="inlineStr">
        <is>
          <t>Credit Card</t>
        </is>
      </c>
      <c r="R316" t="inlineStr">
        <is>
          <t>Corporate</t>
        </is>
      </c>
      <c r="S316" t="n">
        <v>5</v>
      </c>
      <c r="T316" t="inlineStr">
        <is>
          <t>urgent</t>
        </is>
      </c>
    </row>
    <row r="317">
      <c r="A317" t="inlineStr">
        <is>
          <t>O0316</t>
        </is>
      </c>
      <c r="B317" s="2" t="n">
        <v>45991</v>
      </c>
      <c r="C317" t="inlineStr">
        <is>
          <t>East</t>
        </is>
      </c>
      <c r="D317" t="inlineStr">
        <is>
          <t>Massachusetts</t>
        </is>
      </c>
      <c r="E317" t="inlineStr">
        <is>
          <t>John Smith</t>
        </is>
      </c>
      <c r="F317" t="inlineStr">
        <is>
          <t>John Smith</t>
        </is>
      </c>
      <c r="G317" t="inlineStr">
        <is>
          <t>Accessory</t>
        </is>
      </c>
      <c r="H317" t="inlineStr">
        <is>
          <t>P112</t>
        </is>
      </c>
      <c r="I317" t="inlineStr">
        <is>
          <t>PowerBank</t>
        </is>
      </c>
      <c r="J317" t="n">
        <v>15</v>
      </c>
      <c r="K317" s="3" t="n">
        <v>49</v>
      </c>
      <c r="L317" s="4" t="n">
        <v>0.05</v>
      </c>
      <c r="M317" s="3" t="n">
        <v>698.25</v>
      </c>
      <c r="N317" s="3" t="n">
        <v>5000</v>
      </c>
      <c r="O317" s="2" t="n">
        <v>45992</v>
      </c>
      <c r="P317" s="2" t="n">
        <v>45996</v>
      </c>
      <c r="Q317" t="inlineStr">
        <is>
          <t>Credit Card</t>
        </is>
      </c>
      <c r="R317" t="inlineStr">
        <is>
          <t>Corporate</t>
        </is>
      </c>
      <c r="S317" t="n">
        <v>1</v>
      </c>
      <c r="T317" t="inlineStr">
        <is>
          <t>refund pending</t>
        </is>
      </c>
    </row>
    <row r="318">
      <c r="A318" t="inlineStr">
        <is>
          <t>O0317</t>
        </is>
      </c>
      <c r="B318" s="2" t="n">
        <v>45682</v>
      </c>
      <c r="C318" t="inlineStr">
        <is>
          <t>East</t>
        </is>
      </c>
      <c r="D318" t="inlineStr">
        <is>
          <t>New Jersey</t>
        </is>
      </c>
      <c r="E318" t="inlineStr">
        <is>
          <t>Rahul Mehta</t>
        </is>
      </c>
      <c r="F318" t="inlineStr">
        <is>
          <t>John Smith</t>
        </is>
      </c>
      <c r="G318" t="inlineStr">
        <is>
          <t>Mobile</t>
        </is>
      </c>
      <c r="H318" t="inlineStr">
        <is>
          <t>P101</t>
        </is>
      </c>
      <c r="I318" t="inlineStr">
        <is>
          <t>iPhone 15</t>
        </is>
      </c>
      <c r="J318" t="n">
        <v>8</v>
      </c>
      <c r="K318" s="3" t="n">
        <v>699</v>
      </c>
      <c r="L318" s="4" t="n">
        <v>0.1</v>
      </c>
      <c r="M318" s="3" t="n">
        <v>5032.8</v>
      </c>
      <c r="N318" s="3" t="n">
        <v>300</v>
      </c>
      <c r="O318" s="2" t="n">
        <v>45683</v>
      </c>
      <c r="P318" s="2" t="n">
        <v>45687</v>
      </c>
      <c r="Q318" t="inlineStr">
        <is>
          <t>Bank Transfer</t>
        </is>
      </c>
      <c r="R318" t="inlineStr">
        <is>
          <t>Corporate</t>
        </is>
      </c>
      <c r="S318" t="n">
        <v>2</v>
      </c>
      <c r="T318" t="inlineStr">
        <is>
          <t>urgent</t>
        </is>
      </c>
    </row>
    <row r="319">
      <c r="A319" t="inlineStr">
        <is>
          <t>O0318</t>
        </is>
      </c>
      <c r="B319" s="2" t="n">
        <v>45996</v>
      </c>
      <c r="C319" t="inlineStr">
        <is>
          <t>East</t>
        </is>
      </c>
      <c r="D319" t="inlineStr">
        <is>
          <t>Massachusetts</t>
        </is>
      </c>
      <c r="E319" t="inlineStr">
        <is>
          <t>Sara Khan</t>
        </is>
      </c>
      <c r="F319" t="inlineStr">
        <is>
          <t>John Smith</t>
        </is>
      </c>
      <c r="G319" t="inlineStr">
        <is>
          <t>Audio</t>
        </is>
      </c>
      <c r="H319" t="inlineStr">
        <is>
          <t>P107</t>
        </is>
      </c>
      <c r="I319" t="inlineStr">
        <is>
          <t>AirPods</t>
        </is>
      </c>
      <c r="J319" t="n">
        <v>9</v>
      </c>
      <c r="K319" s="3" t="n">
        <v>179</v>
      </c>
      <c r="L319" s="4" t="n">
        <v>0.05</v>
      </c>
      <c r="M319" s="3" t="n">
        <v>1530.45</v>
      </c>
      <c r="N319" s="3" t="n">
        <v>1500</v>
      </c>
      <c r="O319" s="2" t="n">
        <v>45997</v>
      </c>
      <c r="P319" s="2" t="n">
        <v>46003</v>
      </c>
      <c r="Q319" t="inlineStr">
        <is>
          <t>UPI</t>
        </is>
      </c>
      <c r="R319" t="inlineStr">
        <is>
          <t>Returning</t>
        </is>
      </c>
      <c r="S319" t="n">
        <v>1</v>
      </c>
      <c r="T319" t="inlineStr">
        <is>
          <t>NORMAL</t>
        </is>
      </c>
    </row>
    <row r="320">
      <c r="A320" t="inlineStr">
        <is>
          <t>O0319</t>
        </is>
      </c>
      <c r="B320" s="2" t="n">
        <v>45712</v>
      </c>
      <c r="C320" t="inlineStr">
        <is>
          <t>East</t>
        </is>
      </c>
      <c r="D320" t="inlineStr">
        <is>
          <t>Massachusetts</t>
        </is>
      </c>
      <c r="E320" t="inlineStr">
        <is>
          <t>John Smith</t>
        </is>
      </c>
      <c r="F320" t="inlineStr">
        <is>
          <t>PRIYA PATEL</t>
        </is>
      </c>
      <c r="G320" t="inlineStr">
        <is>
          <t>Mobile</t>
        </is>
      </c>
      <c r="H320" t="inlineStr">
        <is>
          <t>P102</t>
        </is>
      </c>
      <c r="I320" t="inlineStr">
        <is>
          <t>Galaxy S24</t>
        </is>
      </c>
      <c r="J320" t="n">
        <v>10</v>
      </c>
      <c r="K320" s="3" t="n">
        <v>799</v>
      </c>
      <c r="L320" s="4" t="n">
        <v>0.02</v>
      </c>
      <c r="M320" s="3" t="n">
        <v>7830.2</v>
      </c>
      <c r="N320" s="3" t="n">
        <v>5000</v>
      </c>
      <c r="O320" s="2" t="n">
        <v>45716</v>
      </c>
      <c r="P320" s="2" t="n">
        <v>45718</v>
      </c>
      <c r="Q320" t="inlineStr">
        <is>
          <t>UPI</t>
        </is>
      </c>
      <c r="R320" t="inlineStr">
        <is>
          <t>Returning</t>
        </is>
      </c>
      <c r="S320" t="n">
        <v>4</v>
      </c>
      <c r="T320" t="inlineStr">
        <is>
          <t>ok</t>
        </is>
      </c>
    </row>
    <row r="321">
      <c r="A321" t="inlineStr">
        <is>
          <t>O0320</t>
        </is>
      </c>
      <c r="B321" s="2" t="n">
        <v>45912</v>
      </c>
      <c r="C321" t="inlineStr">
        <is>
          <t>West</t>
        </is>
      </c>
      <c r="D321" t="inlineStr">
        <is>
          <t>California</t>
        </is>
      </c>
      <c r="E321" t="inlineStr">
        <is>
          <t>Amit Shah</t>
        </is>
      </c>
      <c r="F321" t="inlineStr">
        <is>
          <t>rAhUl shAh</t>
        </is>
      </c>
      <c r="G321" t="inlineStr">
        <is>
          <t>Monitor</t>
        </is>
      </c>
      <c r="H321" t="inlineStr">
        <is>
          <t>P109</t>
        </is>
      </c>
      <c r="I321" t="inlineStr">
        <is>
          <t>Monitor 24</t>
        </is>
      </c>
      <c r="J321" t="n">
        <v>15</v>
      </c>
      <c r="K321" s="3" t="n">
        <v>229</v>
      </c>
      <c r="L321" s="4" t="n">
        <v>0.1</v>
      </c>
      <c r="M321" s="3" t="n">
        <v>3091.5</v>
      </c>
      <c r="N321" s="3" t="n">
        <v>750</v>
      </c>
      <c r="O321" s="2" t="n">
        <v>45914</v>
      </c>
      <c r="P321" s="2" t="n">
        <v>45920</v>
      </c>
      <c r="Q321" t="inlineStr">
        <is>
          <t>Credit Card</t>
        </is>
      </c>
      <c r="R321" t="inlineStr">
        <is>
          <t>Corporate</t>
        </is>
      </c>
      <c r="S321" t="n">
        <v>1</v>
      </c>
      <c r="T321" t="inlineStr">
        <is>
          <t xml:space="preserve"> normal </t>
        </is>
      </c>
    </row>
    <row r="322">
      <c r="A322" t="inlineStr">
        <is>
          <t>O0321</t>
        </is>
      </c>
      <c r="B322" s="2" t="n">
        <v>45919</v>
      </c>
      <c r="C322" t="inlineStr">
        <is>
          <t>South</t>
        </is>
      </c>
      <c r="D322" t="inlineStr">
        <is>
          <t>Florida</t>
        </is>
      </c>
      <c r="E322" t="inlineStr">
        <is>
          <t>Priya Patel</t>
        </is>
      </c>
      <c r="F322" t="inlineStr">
        <is>
          <t>Sara Khan</t>
        </is>
      </c>
      <c r="G322" t="inlineStr">
        <is>
          <t>Mobile</t>
        </is>
      </c>
      <c r="H322" t="inlineStr">
        <is>
          <t>P102</t>
        </is>
      </c>
      <c r="I322" t="inlineStr">
        <is>
          <t>Galaxy S24</t>
        </is>
      </c>
      <c r="J322" t="n">
        <v>12</v>
      </c>
      <c r="K322" s="3" t="n">
        <v>799</v>
      </c>
      <c r="L322" s="4" t="n">
        <v>0</v>
      </c>
      <c r="M322" s="3" t="n">
        <v>9588</v>
      </c>
      <c r="N322" s="3" t="n">
        <v>750</v>
      </c>
      <c r="O322" s="2" t="n">
        <v>45920</v>
      </c>
      <c r="P322" s="2" t="n">
        <v>45926</v>
      </c>
      <c r="Q322" t="inlineStr">
        <is>
          <t>Bank Transfer</t>
        </is>
      </c>
      <c r="R322" t="inlineStr">
        <is>
          <t>Returning</t>
        </is>
      </c>
      <c r="S322" t="n">
        <v>3</v>
      </c>
      <c r="T322" t="inlineStr">
        <is>
          <t xml:space="preserve">  follow-up  </t>
        </is>
      </c>
    </row>
    <row r="323">
      <c r="A323" t="inlineStr">
        <is>
          <t>O0322</t>
        </is>
      </c>
      <c r="B323" s="2" t="n">
        <v>45678</v>
      </c>
      <c r="C323" t="inlineStr">
        <is>
          <t>East</t>
        </is>
      </c>
      <c r="D323" t="inlineStr">
        <is>
          <t>New York</t>
        </is>
      </c>
      <c r="E323" t="inlineStr">
        <is>
          <t>Amit Shah</t>
        </is>
      </c>
      <c r="F323" t="inlineStr">
        <is>
          <t>Sara Khan</t>
        </is>
      </c>
      <c r="G323" t="inlineStr">
        <is>
          <t>Laptop</t>
        </is>
      </c>
      <c r="H323" t="inlineStr">
        <is>
          <t>P103</t>
        </is>
      </c>
      <c r="I323" t="inlineStr">
        <is>
          <t>ThinkPad E14</t>
        </is>
      </c>
      <c r="J323" t="n">
        <v>13</v>
      </c>
      <c r="K323" s="3" t="n">
        <v>899</v>
      </c>
      <c r="L323" s="4" t="n">
        <v>0.05</v>
      </c>
      <c r="M323" s="3" t="n">
        <v>11102.65</v>
      </c>
      <c r="N323" s="3" t="n">
        <v>1000</v>
      </c>
      <c r="O323" s="2" t="n">
        <v>45681</v>
      </c>
      <c r="P323" s="2" t="n">
        <v>45684</v>
      </c>
      <c r="Q323" t="inlineStr">
        <is>
          <t>Credit Card</t>
        </is>
      </c>
      <c r="R323" t="inlineStr">
        <is>
          <t>New</t>
        </is>
      </c>
      <c r="S323" t="n">
        <v>1</v>
      </c>
      <c r="T323" t="inlineStr"/>
    </row>
    <row r="324">
      <c r="A324" t="inlineStr">
        <is>
          <t>O0323</t>
        </is>
      </c>
      <c r="B324" s="2" t="n">
        <v>45745</v>
      </c>
      <c r="C324" t="inlineStr">
        <is>
          <t>West</t>
        </is>
      </c>
      <c r="D324" t="inlineStr">
        <is>
          <t>Washington</t>
        </is>
      </c>
      <c r="E324" t="inlineStr">
        <is>
          <t>Sara Khan</t>
        </is>
      </c>
      <c r="F324" t="inlineStr">
        <is>
          <t>PRIYA PATEL</t>
        </is>
      </c>
      <c r="G324" t="inlineStr">
        <is>
          <t>Accessory</t>
        </is>
      </c>
      <c r="H324" t="inlineStr">
        <is>
          <t>P111</t>
        </is>
      </c>
      <c r="I324" t="inlineStr">
        <is>
          <t>Mouse</t>
        </is>
      </c>
      <c r="J324" t="n">
        <v>15</v>
      </c>
      <c r="K324" s="3" t="n">
        <v>39</v>
      </c>
      <c r="L324" s="4" t="n">
        <v>0.1</v>
      </c>
      <c r="M324" s="3" t="n">
        <v>526.5</v>
      </c>
      <c r="N324" s="3" t="n">
        <v>1500</v>
      </c>
      <c r="O324" s="2" t="n">
        <v>45748</v>
      </c>
      <c r="P324" s="2" t="n">
        <v>45751</v>
      </c>
      <c r="Q324" t="inlineStr">
        <is>
          <t>Credit Card</t>
        </is>
      </c>
      <c r="R324" t="inlineStr">
        <is>
          <t>Returning</t>
        </is>
      </c>
      <c r="S324" t="n">
        <v>3</v>
      </c>
      <c r="T324" t="inlineStr">
        <is>
          <t>urgent</t>
        </is>
      </c>
    </row>
    <row r="325">
      <c r="A325" t="inlineStr">
        <is>
          <t>O0324</t>
        </is>
      </c>
      <c r="B325" s="2" t="n">
        <v>45891</v>
      </c>
      <c r="C325" t="inlineStr">
        <is>
          <t>East</t>
        </is>
      </c>
      <c r="D325" t="inlineStr">
        <is>
          <t>Massachusetts</t>
        </is>
      </c>
      <c r="E325" t="inlineStr">
        <is>
          <t>Sara Khan</t>
        </is>
      </c>
      <c r="F325" t="inlineStr">
        <is>
          <t xml:space="preserve"> Neha  Joshi </t>
        </is>
      </c>
      <c r="G325" t="inlineStr">
        <is>
          <t>Audio</t>
        </is>
      </c>
      <c r="H325" t="inlineStr">
        <is>
          <t>P107</t>
        </is>
      </c>
      <c r="I325" t="inlineStr">
        <is>
          <t>AirPods</t>
        </is>
      </c>
      <c r="J325" t="n">
        <v>7</v>
      </c>
      <c r="K325" s="3" t="n">
        <v>179</v>
      </c>
      <c r="L325" s="4" t="n">
        <v>0.1</v>
      </c>
      <c r="M325" s="3" t="n">
        <v>1127.7</v>
      </c>
      <c r="N325" s="3" t="n">
        <v>5000</v>
      </c>
      <c r="O325" s="2" t="n">
        <v>45894</v>
      </c>
      <c r="P325" s="2" t="n">
        <v>45901</v>
      </c>
      <c r="Q325" t="inlineStr">
        <is>
          <t>UPI</t>
        </is>
      </c>
      <c r="R325" t="inlineStr">
        <is>
          <t>New</t>
        </is>
      </c>
      <c r="S325" t="n">
        <v>2</v>
      </c>
      <c r="T325" t="inlineStr">
        <is>
          <t>refund pending</t>
        </is>
      </c>
    </row>
    <row r="326">
      <c r="A326" t="inlineStr">
        <is>
          <t>O0325</t>
        </is>
      </c>
      <c r="B326" s="2" t="n">
        <v>45871</v>
      </c>
      <c r="C326" t="inlineStr">
        <is>
          <t>East</t>
        </is>
      </c>
      <c r="D326" t="inlineStr">
        <is>
          <t>New York</t>
        </is>
      </c>
      <c r="E326" t="inlineStr">
        <is>
          <t>Priya Patel</t>
        </is>
      </c>
      <c r="F326" t="inlineStr">
        <is>
          <t xml:space="preserve"> Neha  Joshi </t>
        </is>
      </c>
      <c r="G326" t="inlineStr">
        <is>
          <t>Mobile</t>
        </is>
      </c>
      <c r="H326" t="inlineStr">
        <is>
          <t>P102</t>
        </is>
      </c>
      <c r="I326" t="inlineStr">
        <is>
          <t>Galaxy S24</t>
        </is>
      </c>
      <c r="J326" t="n">
        <v>13</v>
      </c>
      <c r="K326" s="3" t="n">
        <v>799</v>
      </c>
      <c r="L326" s="4" t="n">
        <v>0.15</v>
      </c>
      <c r="M326" s="3" t="n">
        <v>8828.950000000001</v>
      </c>
      <c r="N326" s="3" t="n">
        <v>2500</v>
      </c>
      <c r="O326" s="2" t="n">
        <v>45876</v>
      </c>
      <c r="P326" s="2" t="n">
        <v>45880</v>
      </c>
      <c r="Q326" t="inlineStr">
        <is>
          <t>Bank Transfer</t>
        </is>
      </c>
      <c r="R326" t="inlineStr">
        <is>
          <t>Returning</t>
        </is>
      </c>
      <c r="S326" t="n">
        <v>5</v>
      </c>
      <c r="T326" t="inlineStr">
        <is>
          <t xml:space="preserve"> normal </t>
        </is>
      </c>
    </row>
    <row r="327">
      <c r="A327" t="inlineStr">
        <is>
          <t>O0326</t>
        </is>
      </c>
      <c r="B327" s="2" t="n">
        <v>45715</v>
      </c>
      <c r="C327" t="inlineStr">
        <is>
          <t>West</t>
        </is>
      </c>
      <c r="D327" t="inlineStr">
        <is>
          <t>Texas</t>
        </is>
      </c>
      <c r="E327" t="inlineStr">
        <is>
          <t>Rahul Mehta</t>
        </is>
      </c>
      <c r="F327" t="inlineStr">
        <is>
          <t>Sara Khan</t>
        </is>
      </c>
      <c r="G327" t="inlineStr">
        <is>
          <t>Audio</t>
        </is>
      </c>
      <c r="H327" t="inlineStr">
        <is>
          <t>P108</t>
        </is>
      </c>
      <c r="I327" t="inlineStr">
        <is>
          <t>Buds Pro</t>
        </is>
      </c>
      <c r="J327" t="n">
        <v>1</v>
      </c>
      <c r="K327" s="3" t="n">
        <v>129</v>
      </c>
      <c r="L327" s="4" t="n">
        <v>0</v>
      </c>
      <c r="M327" s="3" t="n">
        <v>129</v>
      </c>
      <c r="N327" s="3" t="n">
        <v>750</v>
      </c>
      <c r="O327" s="2" t="n">
        <v>45719</v>
      </c>
      <c r="P327" s="2" t="n">
        <v>45723</v>
      </c>
      <c r="Q327" t="inlineStr">
        <is>
          <t>Credit Card</t>
        </is>
      </c>
      <c r="R327" t="inlineStr">
        <is>
          <t>Corporate</t>
        </is>
      </c>
      <c r="S327" t="n">
        <v>5</v>
      </c>
      <c r="T327" t="inlineStr"/>
    </row>
    <row r="328">
      <c r="A328" t="inlineStr">
        <is>
          <t>O0327</t>
        </is>
      </c>
      <c r="B328" s="2" t="n">
        <v>45923</v>
      </c>
      <c r="C328" t="inlineStr">
        <is>
          <t>West</t>
        </is>
      </c>
      <c r="D328" t="inlineStr">
        <is>
          <t>Washington</t>
        </is>
      </c>
      <c r="E328" t="inlineStr">
        <is>
          <t>Sara Khan</t>
        </is>
      </c>
      <c r="F328" t="inlineStr">
        <is>
          <t xml:space="preserve"> Neha  Joshi </t>
        </is>
      </c>
      <c r="G328" t="inlineStr">
        <is>
          <t>Tablet</t>
        </is>
      </c>
      <c r="H328" t="inlineStr">
        <is>
          <t>P106</t>
        </is>
      </c>
      <c r="I328" t="inlineStr">
        <is>
          <t>Galaxy Tab</t>
        </is>
      </c>
      <c r="J328" t="n">
        <v>12</v>
      </c>
      <c r="K328" s="3" t="n">
        <v>499</v>
      </c>
      <c r="L328" s="4" t="n">
        <v>0.15</v>
      </c>
      <c r="M328" s="3" t="n">
        <v>5089.8</v>
      </c>
      <c r="N328" s="3" t="n">
        <v>300</v>
      </c>
      <c r="O328" s="2" t="n">
        <v>45928</v>
      </c>
      <c r="P328" s="2" t="n">
        <v>45934</v>
      </c>
      <c r="Q328" t="inlineStr">
        <is>
          <t>UPI</t>
        </is>
      </c>
      <c r="R328" t="inlineStr">
        <is>
          <t>Returning</t>
        </is>
      </c>
      <c r="S328" t="n">
        <v>3</v>
      </c>
      <c r="T328" t="inlineStr">
        <is>
          <t>refund pending</t>
        </is>
      </c>
    </row>
    <row r="329">
      <c r="A329" t="inlineStr">
        <is>
          <t>O0328</t>
        </is>
      </c>
      <c r="B329" s="2" t="n">
        <v>45971</v>
      </c>
      <c r="C329" t="inlineStr">
        <is>
          <t>South</t>
        </is>
      </c>
      <c r="D329" t="inlineStr">
        <is>
          <t>Florida</t>
        </is>
      </c>
      <c r="E329" t="inlineStr">
        <is>
          <t>Neha Joshi</t>
        </is>
      </c>
      <c r="F329" t="inlineStr">
        <is>
          <t xml:space="preserve"> Neha  Joshi </t>
        </is>
      </c>
      <c r="G329" t="inlineStr">
        <is>
          <t>Monitor</t>
        </is>
      </c>
      <c r="H329" t="inlineStr">
        <is>
          <t>P109</t>
        </is>
      </c>
      <c r="I329" t="inlineStr">
        <is>
          <t>Monitor 24</t>
        </is>
      </c>
      <c r="J329" t="n">
        <v>11</v>
      </c>
      <c r="K329" s="3" t="n">
        <v>229</v>
      </c>
      <c r="L329" s="4" t="n">
        <v>0.02</v>
      </c>
      <c r="M329" s="3" t="n">
        <v>2468.62</v>
      </c>
      <c r="N329" s="3" t="n">
        <v>1500</v>
      </c>
      <c r="O329" s="2" t="n">
        <v>45972</v>
      </c>
      <c r="P329" s="2" t="n">
        <v>45973</v>
      </c>
      <c r="Q329" t="inlineStr">
        <is>
          <t>UPI</t>
        </is>
      </c>
      <c r="R329" t="inlineStr">
        <is>
          <t>New</t>
        </is>
      </c>
      <c r="S329" t="n">
        <v>4</v>
      </c>
      <c r="T329" t="inlineStr">
        <is>
          <t>ok</t>
        </is>
      </c>
    </row>
    <row r="330">
      <c r="A330" t="inlineStr">
        <is>
          <t>O0329</t>
        </is>
      </c>
      <c r="B330" s="2" t="n">
        <v>45683</v>
      </c>
      <c r="C330" t="inlineStr">
        <is>
          <t>West</t>
        </is>
      </c>
      <c r="D330" t="inlineStr">
        <is>
          <t>Texas</t>
        </is>
      </c>
      <c r="E330" t="inlineStr">
        <is>
          <t>Amit Shah</t>
        </is>
      </c>
      <c r="F330" t="inlineStr">
        <is>
          <t>rAhUl shAh</t>
        </is>
      </c>
      <c r="G330" t="inlineStr">
        <is>
          <t>Tablet</t>
        </is>
      </c>
      <c r="H330" t="inlineStr">
        <is>
          <t>P105</t>
        </is>
      </c>
      <c r="I330" t="inlineStr">
        <is>
          <t>iPad Air</t>
        </is>
      </c>
      <c r="J330" t="n">
        <v>9</v>
      </c>
      <c r="K330" s="3" t="n">
        <v>599</v>
      </c>
      <c r="L330" s="4" t="n">
        <v>0.1</v>
      </c>
      <c r="M330" s="3" t="n">
        <v>4851.9</v>
      </c>
      <c r="N330" s="3" t="n">
        <v>1000</v>
      </c>
      <c r="O330" s="2" t="n">
        <v>45688</v>
      </c>
      <c r="P330" s="2" t="n">
        <v>45690</v>
      </c>
      <c r="Q330" t="inlineStr">
        <is>
          <t>Bank Transfer</t>
        </is>
      </c>
      <c r="R330" t="inlineStr">
        <is>
          <t>Returning</t>
        </is>
      </c>
      <c r="S330" t="n">
        <v>5</v>
      </c>
      <c r="T330" t="inlineStr">
        <is>
          <t xml:space="preserve">  follow-up  </t>
        </is>
      </c>
    </row>
    <row r="331">
      <c r="A331" t="inlineStr">
        <is>
          <t>O0330</t>
        </is>
      </c>
      <c r="B331" s="2" t="n">
        <v>45819</v>
      </c>
      <c r="C331" t="inlineStr">
        <is>
          <t>East</t>
        </is>
      </c>
      <c r="D331" t="inlineStr">
        <is>
          <t>Massachusetts</t>
        </is>
      </c>
      <c r="E331" t="inlineStr">
        <is>
          <t>Neha Joshi</t>
        </is>
      </c>
      <c r="F331" t="inlineStr">
        <is>
          <t xml:space="preserve"> Neha  Joshi </t>
        </is>
      </c>
      <c r="G331" t="inlineStr">
        <is>
          <t>Audio</t>
        </is>
      </c>
      <c r="H331" t="inlineStr">
        <is>
          <t>P108</t>
        </is>
      </c>
      <c r="I331" t="inlineStr">
        <is>
          <t>Buds Pro</t>
        </is>
      </c>
      <c r="J331" t="n">
        <v>12</v>
      </c>
      <c r="K331" s="3" t="n">
        <v>129</v>
      </c>
      <c r="L331" s="4" t="n">
        <v>0</v>
      </c>
      <c r="M331" s="3" t="n">
        <v>1548</v>
      </c>
      <c r="N331" s="3" t="n">
        <v>300</v>
      </c>
      <c r="O331" s="2" t="n">
        <v>45820</v>
      </c>
      <c r="P331" s="2" t="n">
        <v>45824</v>
      </c>
      <c r="Q331" t="inlineStr">
        <is>
          <t>Credit Card</t>
        </is>
      </c>
      <c r="R331" t="inlineStr">
        <is>
          <t>Corporate</t>
        </is>
      </c>
      <c r="S331" t="n">
        <v>5</v>
      </c>
      <c r="T331" t="inlineStr">
        <is>
          <t xml:space="preserve"> normal </t>
        </is>
      </c>
    </row>
    <row r="332">
      <c r="A332" t="inlineStr">
        <is>
          <t>O0331</t>
        </is>
      </c>
      <c r="B332" s="2" t="n">
        <v>45984</v>
      </c>
      <c r="C332" t="inlineStr">
        <is>
          <t>East</t>
        </is>
      </c>
      <c r="D332" t="inlineStr">
        <is>
          <t>New Jersey</t>
        </is>
      </c>
      <c r="E332" t="inlineStr">
        <is>
          <t>Neha Joshi</t>
        </is>
      </c>
      <c r="F332" t="inlineStr">
        <is>
          <t>Sara Khan</t>
        </is>
      </c>
      <c r="G332" t="inlineStr">
        <is>
          <t>Accessory</t>
        </is>
      </c>
      <c r="H332" t="inlineStr">
        <is>
          <t>P110</t>
        </is>
      </c>
      <c r="I332" t="inlineStr">
        <is>
          <t>Keyboard</t>
        </is>
      </c>
      <c r="J332" t="n">
        <v>9</v>
      </c>
      <c r="K332" s="3" t="n">
        <v>59</v>
      </c>
      <c r="L332" s="4" t="n">
        <v>0.02</v>
      </c>
      <c r="M332" s="3" t="n">
        <v>520.38</v>
      </c>
      <c r="N332" s="3" t="n">
        <v>2500</v>
      </c>
      <c r="O332" s="2" t="n">
        <v>45987</v>
      </c>
      <c r="P332" s="2" t="n">
        <v>45992</v>
      </c>
      <c r="Q332" t="inlineStr">
        <is>
          <t>Cash</t>
        </is>
      </c>
      <c r="R332" t="inlineStr">
        <is>
          <t>Returning</t>
        </is>
      </c>
      <c r="S332" t="n">
        <v>1</v>
      </c>
      <c r="T332" t="inlineStr"/>
    </row>
    <row r="333">
      <c r="A333" t="inlineStr">
        <is>
          <t>O0332</t>
        </is>
      </c>
      <c r="B333" s="2" t="n">
        <v>45944</v>
      </c>
      <c r="C333" t="inlineStr">
        <is>
          <t>West</t>
        </is>
      </c>
      <c r="D333" t="inlineStr">
        <is>
          <t>Texas</t>
        </is>
      </c>
      <c r="E333" t="inlineStr">
        <is>
          <t>Amit Shah</t>
        </is>
      </c>
      <c r="F333" t="inlineStr">
        <is>
          <t xml:space="preserve"> Neha  Joshi </t>
        </is>
      </c>
      <c r="G333" t="inlineStr">
        <is>
          <t>Tablet</t>
        </is>
      </c>
      <c r="H333" t="inlineStr">
        <is>
          <t>P106</t>
        </is>
      </c>
      <c r="I333" t="inlineStr">
        <is>
          <t>Galaxy Tab</t>
        </is>
      </c>
      <c r="J333" t="n">
        <v>8</v>
      </c>
      <c r="K333" s="3" t="n">
        <v>499</v>
      </c>
      <c r="L333" s="4" t="n">
        <v>0.05</v>
      </c>
      <c r="M333" s="3" t="n">
        <v>3792.4</v>
      </c>
      <c r="N333" s="3" t="n">
        <v>2500</v>
      </c>
      <c r="O333" s="2" t="n">
        <v>45949</v>
      </c>
      <c r="P333" s="2" t="n">
        <v>45954</v>
      </c>
      <c r="Q333" t="inlineStr">
        <is>
          <t>Credit Card</t>
        </is>
      </c>
      <c r="R333" t="inlineStr">
        <is>
          <t>Corporate</t>
        </is>
      </c>
      <c r="S333" t="n">
        <v>2</v>
      </c>
      <c r="T333" t="inlineStr">
        <is>
          <t xml:space="preserve"> normal </t>
        </is>
      </c>
    </row>
    <row r="334">
      <c r="A334" t="inlineStr">
        <is>
          <t>O0333</t>
        </is>
      </c>
      <c r="B334" s="2" t="n">
        <v>45807</v>
      </c>
      <c r="C334" t="inlineStr">
        <is>
          <t>North</t>
        </is>
      </c>
      <c r="D334" t="inlineStr">
        <is>
          <t>Michigan</t>
        </is>
      </c>
      <c r="E334" t="inlineStr">
        <is>
          <t>Neha Joshi</t>
        </is>
      </c>
      <c r="F334" t="inlineStr">
        <is>
          <t xml:space="preserve">rAhUl shAh </t>
        </is>
      </c>
      <c r="G334" t="inlineStr">
        <is>
          <t>Accessory</t>
        </is>
      </c>
      <c r="H334" t="inlineStr">
        <is>
          <t>P111</t>
        </is>
      </c>
      <c r="I334" t="inlineStr">
        <is>
          <t>Mouse</t>
        </is>
      </c>
      <c r="J334" t="n">
        <v>6</v>
      </c>
      <c r="K334" s="3" t="n">
        <v>39</v>
      </c>
      <c r="L334" s="4" t="n">
        <v>0</v>
      </c>
      <c r="M334" s="3" t="n">
        <v>234</v>
      </c>
      <c r="N334" s="3" t="n">
        <v>300</v>
      </c>
      <c r="O334" s="2" t="n">
        <v>45812</v>
      </c>
      <c r="P334" s="2" t="n">
        <v>45817</v>
      </c>
      <c r="Q334" t="inlineStr">
        <is>
          <t>UPI</t>
        </is>
      </c>
      <c r="R334" t="inlineStr">
        <is>
          <t>Corporate</t>
        </is>
      </c>
      <c r="S334" t="n">
        <v>4</v>
      </c>
      <c r="T334" t="inlineStr">
        <is>
          <t xml:space="preserve"> normal </t>
        </is>
      </c>
    </row>
    <row r="335">
      <c r="A335" t="inlineStr">
        <is>
          <t>O0334</t>
        </is>
      </c>
      <c r="B335" s="2" t="n">
        <v>45754</v>
      </c>
      <c r="C335" t="inlineStr">
        <is>
          <t>North</t>
        </is>
      </c>
      <c r="D335" t="inlineStr">
        <is>
          <t>Minnesota</t>
        </is>
      </c>
      <c r="E335" t="inlineStr">
        <is>
          <t>Sara Khan</t>
        </is>
      </c>
      <c r="F335" t="inlineStr">
        <is>
          <t>rAhUl shAh</t>
        </is>
      </c>
      <c r="G335" t="inlineStr">
        <is>
          <t>Laptop</t>
        </is>
      </c>
      <c r="H335" t="inlineStr">
        <is>
          <t>P104</t>
        </is>
      </c>
      <c r="I335" t="inlineStr">
        <is>
          <t>Inspiron 15</t>
        </is>
      </c>
      <c r="J335" t="n">
        <v>7</v>
      </c>
      <c r="K335" s="3" t="n">
        <v>749</v>
      </c>
      <c r="L335" s="4" t="n">
        <v>0.02</v>
      </c>
      <c r="M335" s="3" t="n">
        <v>5138.14</v>
      </c>
      <c r="N335" s="3" t="n">
        <v>1000</v>
      </c>
      <c r="O335" s="2" t="n">
        <v>45755</v>
      </c>
      <c r="P335" s="2" t="n">
        <v>45762</v>
      </c>
      <c r="Q335" t="inlineStr">
        <is>
          <t>Cash</t>
        </is>
      </c>
      <c r="R335" t="inlineStr">
        <is>
          <t>New</t>
        </is>
      </c>
      <c r="S335" t="n">
        <v>4</v>
      </c>
      <c r="T335" t="inlineStr">
        <is>
          <t xml:space="preserve"> normal </t>
        </is>
      </c>
    </row>
    <row r="336">
      <c r="A336" t="inlineStr">
        <is>
          <t>O0335</t>
        </is>
      </c>
      <c r="B336" s="2" t="n">
        <v>45995</v>
      </c>
      <c r="C336" t="inlineStr">
        <is>
          <t>East</t>
        </is>
      </c>
      <c r="D336" t="inlineStr">
        <is>
          <t>Massachusetts</t>
        </is>
      </c>
      <c r="E336" t="inlineStr">
        <is>
          <t>Sara Khan</t>
        </is>
      </c>
      <c r="F336" t="inlineStr">
        <is>
          <t>John Smith</t>
        </is>
      </c>
      <c r="G336" t="inlineStr">
        <is>
          <t>Audio</t>
        </is>
      </c>
      <c r="H336" t="inlineStr">
        <is>
          <t>P108</t>
        </is>
      </c>
      <c r="I336" t="inlineStr">
        <is>
          <t>Buds Pro</t>
        </is>
      </c>
      <c r="J336" t="n">
        <v>3</v>
      </c>
      <c r="K336" s="3" t="n">
        <v>129</v>
      </c>
      <c r="L336" s="4" t="n">
        <v>0.1</v>
      </c>
      <c r="M336" s="3" t="n">
        <v>348.3</v>
      </c>
      <c r="N336" s="3" t="n">
        <v>300</v>
      </c>
      <c r="O336" s="2" t="n">
        <v>46000</v>
      </c>
      <c r="P336" s="2" t="n">
        <v>46005</v>
      </c>
      <c r="Q336" t="inlineStr">
        <is>
          <t>Credit Card</t>
        </is>
      </c>
      <c r="R336" t="inlineStr">
        <is>
          <t>Corporate</t>
        </is>
      </c>
      <c r="S336" t="n">
        <v>4</v>
      </c>
      <c r="T336" t="inlineStr"/>
    </row>
    <row r="337">
      <c r="A337" t="inlineStr">
        <is>
          <t>O0336</t>
        </is>
      </c>
      <c r="B337" s="2" t="n">
        <v>46012</v>
      </c>
      <c r="C337" t="inlineStr">
        <is>
          <t>South</t>
        </is>
      </c>
      <c r="D337" t="inlineStr">
        <is>
          <t>Texas</t>
        </is>
      </c>
      <c r="E337" t="inlineStr">
        <is>
          <t>Sara Khan</t>
        </is>
      </c>
      <c r="F337" t="inlineStr">
        <is>
          <t xml:space="preserve"> Neha  Joshi </t>
        </is>
      </c>
      <c r="G337" t="inlineStr">
        <is>
          <t>Laptop</t>
        </is>
      </c>
      <c r="H337" t="inlineStr">
        <is>
          <t>P103</t>
        </is>
      </c>
      <c r="I337" t="inlineStr">
        <is>
          <t>ThinkPad E14</t>
        </is>
      </c>
      <c r="J337" t="n">
        <v>12</v>
      </c>
      <c r="K337" s="3" t="n">
        <v>899</v>
      </c>
      <c r="L337" s="4" t="n">
        <v>0.02</v>
      </c>
      <c r="M337" s="3" t="n">
        <v>10572.24</v>
      </c>
      <c r="N337" s="3" t="n">
        <v>300</v>
      </c>
      <c r="O337" s="2" t="n">
        <v>46017</v>
      </c>
      <c r="P337" s="2" t="n">
        <v>46019</v>
      </c>
      <c r="Q337" t="inlineStr">
        <is>
          <t>Cash</t>
        </is>
      </c>
      <c r="R337" t="inlineStr">
        <is>
          <t>Corporate</t>
        </is>
      </c>
      <c r="S337" t="n">
        <v>4</v>
      </c>
      <c r="T337" t="inlineStr">
        <is>
          <t xml:space="preserve">  follow-up  </t>
        </is>
      </c>
    </row>
    <row r="338">
      <c r="A338" t="inlineStr">
        <is>
          <t>O0337</t>
        </is>
      </c>
      <c r="B338" s="2" t="n">
        <v>45833</v>
      </c>
      <c r="C338" t="inlineStr">
        <is>
          <t>West</t>
        </is>
      </c>
      <c r="D338" t="inlineStr">
        <is>
          <t>Texas</t>
        </is>
      </c>
      <c r="E338" t="inlineStr">
        <is>
          <t>John Smith</t>
        </is>
      </c>
      <c r="F338" t="inlineStr">
        <is>
          <t xml:space="preserve"> Neha  Joshi </t>
        </is>
      </c>
      <c r="G338" t="inlineStr">
        <is>
          <t>Audio</t>
        </is>
      </c>
      <c r="H338" t="inlineStr">
        <is>
          <t>P107</t>
        </is>
      </c>
      <c r="I338" t="inlineStr">
        <is>
          <t>AirPods</t>
        </is>
      </c>
      <c r="J338" t="n">
        <v>13</v>
      </c>
      <c r="K338" s="3" t="n">
        <v>179</v>
      </c>
      <c r="L338" s="4" t="n">
        <v>0.02</v>
      </c>
      <c r="M338" s="3" t="n">
        <v>2280.46</v>
      </c>
      <c r="N338" s="3" t="n">
        <v>500</v>
      </c>
      <c r="O338" s="2" t="n">
        <v>45836</v>
      </c>
      <c r="P338" s="2" t="n">
        <v>45840</v>
      </c>
      <c r="Q338" t="inlineStr">
        <is>
          <t>Cash</t>
        </is>
      </c>
      <c r="R338" t="inlineStr">
        <is>
          <t>Corporate</t>
        </is>
      </c>
      <c r="S338" t="n">
        <v>5</v>
      </c>
      <c r="T338" t="inlineStr"/>
    </row>
    <row r="339">
      <c r="A339" t="inlineStr">
        <is>
          <t>O0338</t>
        </is>
      </c>
      <c r="B339" s="2" t="n">
        <v>45941</v>
      </c>
      <c r="C339" t="inlineStr">
        <is>
          <t>North</t>
        </is>
      </c>
      <c r="D339" t="inlineStr">
        <is>
          <t>Minnesota</t>
        </is>
      </c>
      <c r="E339" t="inlineStr">
        <is>
          <t>Sara Khan</t>
        </is>
      </c>
      <c r="F339" t="inlineStr">
        <is>
          <t>PRIYA PATEL</t>
        </is>
      </c>
      <c r="G339" t="inlineStr">
        <is>
          <t>Accessory</t>
        </is>
      </c>
      <c r="H339" t="inlineStr">
        <is>
          <t>P112</t>
        </is>
      </c>
      <c r="I339" t="inlineStr">
        <is>
          <t>PowerBank</t>
        </is>
      </c>
      <c r="J339" t="n">
        <v>4</v>
      </c>
      <c r="K339" s="3" t="n">
        <v>49</v>
      </c>
      <c r="L339" s="4" t="n">
        <v>0.15</v>
      </c>
      <c r="M339" s="3" t="n">
        <v>166.6</v>
      </c>
      <c r="N339" s="3" t="n">
        <v>2500</v>
      </c>
      <c r="O339" s="2" t="n">
        <v>45943</v>
      </c>
      <c r="P339" s="2" t="n">
        <v>45945</v>
      </c>
      <c r="Q339" t="inlineStr">
        <is>
          <t>Cash</t>
        </is>
      </c>
      <c r="R339" t="inlineStr">
        <is>
          <t>Corporate</t>
        </is>
      </c>
      <c r="S339" t="n">
        <v>2</v>
      </c>
      <c r="T339" t="inlineStr">
        <is>
          <t>refund pending</t>
        </is>
      </c>
    </row>
    <row r="340">
      <c r="A340" t="inlineStr">
        <is>
          <t>O0339</t>
        </is>
      </c>
      <c r="B340" s="2" t="n">
        <v>46013</v>
      </c>
      <c r="C340" t="inlineStr">
        <is>
          <t>West</t>
        </is>
      </c>
      <c r="D340" t="inlineStr">
        <is>
          <t>Washington</t>
        </is>
      </c>
      <c r="E340" t="inlineStr">
        <is>
          <t>John Smith</t>
        </is>
      </c>
      <c r="F340" t="inlineStr">
        <is>
          <t xml:space="preserve"> Neha  Joshi </t>
        </is>
      </c>
      <c r="G340" t="inlineStr">
        <is>
          <t>Monitor</t>
        </is>
      </c>
      <c r="H340" t="inlineStr">
        <is>
          <t>P109</t>
        </is>
      </c>
      <c r="I340" t="inlineStr">
        <is>
          <t>Monitor 24</t>
        </is>
      </c>
      <c r="J340" t="n">
        <v>2</v>
      </c>
      <c r="K340" s="3" t="n">
        <v>229</v>
      </c>
      <c r="L340" s="4" t="n">
        <v>0.05</v>
      </c>
      <c r="M340" s="3" t="n">
        <v>435.1</v>
      </c>
      <c r="N340" s="3" t="n">
        <v>1500</v>
      </c>
      <c r="O340" s="2" t="n">
        <v>46016</v>
      </c>
      <c r="P340" s="2" t="n">
        <v>46022</v>
      </c>
      <c r="Q340" t="inlineStr">
        <is>
          <t>Bank Transfer</t>
        </is>
      </c>
      <c r="R340" t="inlineStr">
        <is>
          <t>Corporate</t>
        </is>
      </c>
      <c r="S340" t="n">
        <v>5</v>
      </c>
      <c r="T340" t="inlineStr">
        <is>
          <t>ok</t>
        </is>
      </c>
    </row>
    <row r="341">
      <c r="A341" t="inlineStr">
        <is>
          <t>O0340</t>
        </is>
      </c>
      <c r="B341" s="2" t="n">
        <v>45712</v>
      </c>
      <c r="C341" t="inlineStr">
        <is>
          <t>South</t>
        </is>
      </c>
      <c r="D341" t="inlineStr">
        <is>
          <t>Florida</t>
        </is>
      </c>
      <c r="E341" t="inlineStr">
        <is>
          <t>Priya Patel</t>
        </is>
      </c>
      <c r="F341" t="inlineStr">
        <is>
          <t xml:space="preserve"> Rahul Shah </t>
        </is>
      </c>
      <c r="G341" t="inlineStr">
        <is>
          <t>Monitor</t>
        </is>
      </c>
      <c r="H341" t="inlineStr">
        <is>
          <t>P109</t>
        </is>
      </c>
      <c r="I341" t="inlineStr">
        <is>
          <t>Monitor 24</t>
        </is>
      </c>
      <c r="J341" t="n">
        <v>3</v>
      </c>
      <c r="K341" s="3" t="n">
        <v>229</v>
      </c>
      <c r="L341" s="4" t="n">
        <v>0</v>
      </c>
      <c r="M341" s="3" t="n">
        <v>687</v>
      </c>
      <c r="N341" s="3" t="n">
        <v>2500</v>
      </c>
      <c r="O341" s="2" t="n">
        <v>45713</v>
      </c>
      <c r="P341" s="2" t="n">
        <v>45717</v>
      </c>
      <c r="Q341" t="inlineStr">
        <is>
          <t>Cash</t>
        </is>
      </c>
      <c r="R341" t="inlineStr">
        <is>
          <t>New</t>
        </is>
      </c>
      <c r="S341" t="n">
        <v>3</v>
      </c>
      <c r="T341" t="inlineStr">
        <is>
          <t>refund pending</t>
        </is>
      </c>
    </row>
    <row r="342">
      <c r="A342" t="inlineStr">
        <is>
          <t>O0341</t>
        </is>
      </c>
      <c r="B342" s="2" t="n">
        <v>46011</v>
      </c>
      <c r="C342" t="inlineStr">
        <is>
          <t>North</t>
        </is>
      </c>
      <c r="D342" t="inlineStr">
        <is>
          <t>Illinois</t>
        </is>
      </c>
      <c r="E342" t="inlineStr">
        <is>
          <t>Neha Joshi</t>
        </is>
      </c>
      <c r="F342" t="inlineStr">
        <is>
          <t>PRIYA PATEL</t>
        </is>
      </c>
      <c r="G342" t="inlineStr">
        <is>
          <t>Mobile</t>
        </is>
      </c>
      <c r="H342" t="inlineStr">
        <is>
          <t>P101</t>
        </is>
      </c>
      <c r="I342" t="inlineStr">
        <is>
          <t>iPhone 15</t>
        </is>
      </c>
      <c r="J342" t="n">
        <v>13</v>
      </c>
      <c r="K342" s="3" t="n">
        <v>699</v>
      </c>
      <c r="L342" s="4" t="n">
        <v>0.15</v>
      </c>
      <c r="M342" s="3" t="n">
        <v>7723.95</v>
      </c>
      <c r="N342" s="3" t="n">
        <v>300</v>
      </c>
      <c r="O342" s="2" t="n">
        <v>46014</v>
      </c>
      <c r="P342" s="2" t="n">
        <v>46016</v>
      </c>
      <c r="Q342" t="inlineStr">
        <is>
          <t>Credit Card</t>
        </is>
      </c>
      <c r="R342" t="inlineStr">
        <is>
          <t>Corporate</t>
        </is>
      </c>
      <c r="S342" t="n">
        <v>5</v>
      </c>
      <c r="T342" t="inlineStr"/>
    </row>
    <row r="343">
      <c r="A343" t="inlineStr">
        <is>
          <t>O0342</t>
        </is>
      </c>
      <c r="B343" s="2" t="n">
        <v>45945</v>
      </c>
      <c r="C343" t="inlineStr">
        <is>
          <t>West</t>
        </is>
      </c>
      <c r="D343" t="inlineStr">
        <is>
          <t>Washington</t>
        </is>
      </c>
      <c r="E343" t="inlineStr">
        <is>
          <t>Amit Shah</t>
        </is>
      </c>
      <c r="F343" t="inlineStr">
        <is>
          <t>Sara Khan</t>
        </is>
      </c>
      <c r="G343" t="inlineStr">
        <is>
          <t>Accessory</t>
        </is>
      </c>
      <c r="H343" t="inlineStr">
        <is>
          <t>P111</t>
        </is>
      </c>
      <c r="I343" t="inlineStr">
        <is>
          <t>Mouse</t>
        </is>
      </c>
      <c r="J343" t="n">
        <v>9</v>
      </c>
      <c r="K343" s="3" t="n">
        <v>39</v>
      </c>
      <c r="L343" s="4" t="n">
        <v>0.05</v>
      </c>
      <c r="M343" s="3" t="n">
        <v>333.45</v>
      </c>
      <c r="N343" s="3" t="n">
        <v>2500</v>
      </c>
      <c r="O343" s="2" t="n">
        <v>45949</v>
      </c>
      <c r="P343" s="2" t="n">
        <v>45951</v>
      </c>
      <c r="Q343" t="inlineStr">
        <is>
          <t>Bank Transfer</t>
        </is>
      </c>
      <c r="R343" t="inlineStr">
        <is>
          <t>Returning</t>
        </is>
      </c>
      <c r="S343" t="n">
        <v>4</v>
      </c>
      <c r="T343" t="inlineStr"/>
    </row>
    <row r="344">
      <c r="A344" t="inlineStr">
        <is>
          <t>O0343</t>
        </is>
      </c>
      <c r="B344" s="2" t="n">
        <v>45664</v>
      </c>
      <c r="C344" t="inlineStr">
        <is>
          <t>North</t>
        </is>
      </c>
      <c r="D344" t="inlineStr">
        <is>
          <t>Minnesota</t>
        </is>
      </c>
      <c r="E344" t="inlineStr">
        <is>
          <t>Sara Khan</t>
        </is>
      </c>
      <c r="F344" t="inlineStr">
        <is>
          <t>rAhUl shAh</t>
        </is>
      </c>
      <c r="G344" t="inlineStr">
        <is>
          <t>Mobile</t>
        </is>
      </c>
      <c r="H344" t="inlineStr">
        <is>
          <t>P101</t>
        </is>
      </c>
      <c r="I344" t="inlineStr">
        <is>
          <t>iPhone 15</t>
        </is>
      </c>
      <c r="J344" t="n">
        <v>10</v>
      </c>
      <c r="K344" s="3" t="n">
        <v>699</v>
      </c>
      <c r="L344" s="4" t="n">
        <v>0.1</v>
      </c>
      <c r="M344" s="3" t="n">
        <v>6291</v>
      </c>
      <c r="N344" s="3" t="n">
        <v>5000</v>
      </c>
      <c r="O344" s="2" t="n">
        <v>45667</v>
      </c>
      <c r="P344" s="2" t="n">
        <v>45669</v>
      </c>
      <c r="Q344" t="inlineStr">
        <is>
          <t>Cash</t>
        </is>
      </c>
      <c r="R344" t="inlineStr">
        <is>
          <t>Corporate</t>
        </is>
      </c>
      <c r="S344" t="n">
        <v>5</v>
      </c>
      <c r="T344" t="inlineStr">
        <is>
          <t>refund pending</t>
        </is>
      </c>
    </row>
    <row r="345">
      <c r="A345" t="inlineStr">
        <is>
          <t>O0344</t>
        </is>
      </c>
      <c r="B345" s="2" t="n">
        <v>45808</v>
      </c>
      <c r="C345" t="inlineStr">
        <is>
          <t>West</t>
        </is>
      </c>
      <c r="D345" t="inlineStr">
        <is>
          <t>Washington</t>
        </is>
      </c>
      <c r="E345" t="inlineStr">
        <is>
          <t>Sara Khan</t>
        </is>
      </c>
      <c r="F345" t="inlineStr">
        <is>
          <t>rAhUl shAh</t>
        </is>
      </c>
      <c r="G345" t="inlineStr">
        <is>
          <t>Laptop</t>
        </is>
      </c>
      <c r="H345" t="inlineStr">
        <is>
          <t>P104</t>
        </is>
      </c>
      <c r="I345" t="inlineStr">
        <is>
          <t>Inspiron 15</t>
        </is>
      </c>
      <c r="J345" t="n">
        <v>11</v>
      </c>
      <c r="K345" s="3" t="n">
        <v>749</v>
      </c>
      <c r="L345" s="4" t="n">
        <v>0</v>
      </c>
      <c r="M345" s="3" t="n">
        <v>8239</v>
      </c>
      <c r="N345" s="3" t="n">
        <v>500</v>
      </c>
      <c r="O345" s="2" t="n">
        <v>45812</v>
      </c>
      <c r="P345" s="2" t="n">
        <v>45814</v>
      </c>
      <c r="Q345" t="inlineStr">
        <is>
          <t>Credit Card</t>
        </is>
      </c>
      <c r="R345" t="inlineStr">
        <is>
          <t>Returning</t>
        </is>
      </c>
      <c r="S345" t="n">
        <v>1</v>
      </c>
      <c r="T345" t="inlineStr">
        <is>
          <t xml:space="preserve">  follow-up  </t>
        </is>
      </c>
    </row>
    <row r="346">
      <c r="A346" t="inlineStr">
        <is>
          <t>O0345</t>
        </is>
      </c>
      <c r="B346" s="2" t="n">
        <v>45724</v>
      </c>
      <c r="C346" t="inlineStr">
        <is>
          <t>North</t>
        </is>
      </c>
      <c r="D346" t="inlineStr">
        <is>
          <t>Minnesota</t>
        </is>
      </c>
      <c r="E346" t="inlineStr">
        <is>
          <t>Neha Joshi</t>
        </is>
      </c>
      <c r="F346" t="inlineStr">
        <is>
          <t>PRIYA PATEL</t>
        </is>
      </c>
      <c r="G346" t="inlineStr">
        <is>
          <t>Tablet</t>
        </is>
      </c>
      <c r="H346" t="inlineStr">
        <is>
          <t>P105</t>
        </is>
      </c>
      <c r="I346" t="inlineStr">
        <is>
          <t>iPad Air</t>
        </is>
      </c>
      <c r="J346" t="n">
        <v>14</v>
      </c>
      <c r="K346" s="3" t="n">
        <v>599</v>
      </c>
      <c r="L346" s="4" t="n">
        <v>0.05</v>
      </c>
      <c r="M346" s="3" t="n">
        <v>7966.7</v>
      </c>
      <c r="N346" s="3" t="n">
        <v>300</v>
      </c>
      <c r="O346" s="2" t="n">
        <v>45726</v>
      </c>
      <c r="P346" s="2" t="n">
        <v>45731</v>
      </c>
      <c r="Q346" t="inlineStr">
        <is>
          <t>UPI</t>
        </is>
      </c>
      <c r="R346" t="inlineStr">
        <is>
          <t>New</t>
        </is>
      </c>
      <c r="S346" t="n">
        <v>2</v>
      </c>
      <c r="T346" t="inlineStr">
        <is>
          <t>ok</t>
        </is>
      </c>
    </row>
    <row r="347">
      <c r="A347" t="inlineStr">
        <is>
          <t>O0346</t>
        </is>
      </c>
      <c r="B347" s="2" t="n">
        <v>45996</v>
      </c>
      <c r="C347" t="inlineStr">
        <is>
          <t>East</t>
        </is>
      </c>
      <c r="D347" t="inlineStr">
        <is>
          <t>New Jersey</t>
        </is>
      </c>
      <c r="E347" t="inlineStr">
        <is>
          <t>Amit Shah</t>
        </is>
      </c>
      <c r="F347" t="inlineStr">
        <is>
          <t>PRIYA PATEL</t>
        </is>
      </c>
      <c r="G347" t="inlineStr">
        <is>
          <t>Accessory</t>
        </is>
      </c>
      <c r="H347" t="inlineStr">
        <is>
          <t>P110</t>
        </is>
      </c>
      <c r="I347" t="inlineStr">
        <is>
          <t>Keyboard</t>
        </is>
      </c>
      <c r="J347" t="n">
        <v>13</v>
      </c>
      <c r="K347" s="3" t="n">
        <v>59</v>
      </c>
      <c r="L347" s="4" t="n">
        <v>0.15</v>
      </c>
      <c r="M347" s="3" t="n">
        <v>651.95</v>
      </c>
      <c r="N347" s="3" t="n">
        <v>1500</v>
      </c>
      <c r="O347" s="2" t="n">
        <v>45999</v>
      </c>
      <c r="P347" s="2" t="n">
        <v>46003</v>
      </c>
      <c r="Q347" t="inlineStr">
        <is>
          <t>Cash</t>
        </is>
      </c>
      <c r="R347" t="inlineStr">
        <is>
          <t>Corporate</t>
        </is>
      </c>
      <c r="S347" t="n">
        <v>2</v>
      </c>
      <c r="T347" t="inlineStr">
        <is>
          <t>urgent</t>
        </is>
      </c>
    </row>
    <row r="348">
      <c r="A348" t="inlineStr">
        <is>
          <t>O0347</t>
        </is>
      </c>
      <c r="B348" s="2" t="n">
        <v>45870</v>
      </c>
      <c r="C348" t="inlineStr">
        <is>
          <t>East</t>
        </is>
      </c>
      <c r="D348" t="inlineStr">
        <is>
          <t>New Jersey</t>
        </is>
      </c>
      <c r="E348" t="inlineStr">
        <is>
          <t>Priya Patel</t>
        </is>
      </c>
      <c r="F348" t="inlineStr">
        <is>
          <t>rAhUl shAh</t>
        </is>
      </c>
      <c r="G348" t="inlineStr">
        <is>
          <t>Laptop</t>
        </is>
      </c>
      <c r="H348" t="inlineStr">
        <is>
          <t>P103</t>
        </is>
      </c>
      <c r="I348" t="inlineStr">
        <is>
          <t>ThinkPad E14</t>
        </is>
      </c>
      <c r="J348" t="n">
        <v>7</v>
      </c>
      <c r="K348" s="3" t="n">
        <v>899</v>
      </c>
      <c r="L348" s="4" t="n">
        <v>0</v>
      </c>
      <c r="M348" s="3" t="n">
        <v>6293</v>
      </c>
      <c r="N348" s="3" t="n">
        <v>750</v>
      </c>
      <c r="O348" s="2" t="n">
        <v>45875</v>
      </c>
      <c r="P348" s="2" t="n">
        <v>45880</v>
      </c>
      <c r="Q348" t="inlineStr">
        <is>
          <t>Cash</t>
        </is>
      </c>
      <c r="R348" t="inlineStr">
        <is>
          <t>Returning</t>
        </is>
      </c>
      <c r="S348" t="n">
        <v>3</v>
      </c>
      <c r="T348" t="inlineStr">
        <is>
          <t>ok</t>
        </is>
      </c>
    </row>
    <row r="349">
      <c r="A349" t="inlineStr">
        <is>
          <t>O0348</t>
        </is>
      </c>
      <c r="B349" s="2" t="n">
        <v>45901</v>
      </c>
      <c r="C349" t="inlineStr">
        <is>
          <t>West</t>
        </is>
      </c>
      <c r="D349" t="inlineStr">
        <is>
          <t>Washington</t>
        </is>
      </c>
      <c r="E349" t="inlineStr">
        <is>
          <t>Rahul Mehta</t>
        </is>
      </c>
      <c r="F349" t="inlineStr">
        <is>
          <t>Sara Khan</t>
        </is>
      </c>
      <c r="G349" t="inlineStr">
        <is>
          <t>Monitor</t>
        </is>
      </c>
      <c r="H349" t="inlineStr">
        <is>
          <t>P109</t>
        </is>
      </c>
      <c r="I349" t="inlineStr">
        <is>
          <t>Monitor 24</t>
        </is>
      </c>
      <c r="J349" t="n">
        <v>13</v>
      </c>
      <c r="K349" s="3" t="n">
        <v>229</v>
      </c>
      <c r="L349" s="4" t="n">
        <v>0</v>
      </c>
      <c r="M349" s="3" t="n">
        <v>2977</v>
      </c>
      <c r="N349" s="3" t="n">
        <v>300</v>
      </c>
      <c r="O349" s="2" t="n">
        <v>45906</v>
      </c>
      <c r="P349" s="2" t="n">
        <v>45913</v>
      </c>
      <c r="Q349" t="inlineStr">
        <is>
          <t>Bank Transfer</t>
        </is>
      </c>
      <c r="R349" t="inlineStr">
        <is>
          <t>New</t>
        </is>
      </c>
      <c r="S349" t="n">
        <v>5</v>
      </c>
      <c r="T349" t="inlineStr">
        <is>
          <t>NORMAL</t>
        </is>
      </c>
    </row>
    <row r="350">
      <c r="A350" t="inlineStr">
        <is>
          <t>O0349</t>
        </is>
      </c>
      <c r="B350" s="2" t="n">
        <v>45822</v>
      </c>
      <c r="C350" t="inlineStr">
        <is>
          <t>West</t>
        </is>
      </c>
      <c r="D350" t="inlineStr">
        <is>
          <t>California</t>
        </is>
      </c>
      <c r="E350" t="inlineStr">
        <is>
          <t>Sara Khan</t>
        </is>
      </c>
      <c r="F350" t="inlineStr">
        <is>
          <t>John Smith</t>
        </is>
      </c>
      <c r="G350" t="inlineStr">
        <is>
          <t>Accessory</t>
        </is>
      </c>
      <c r="H350" t="inlineStr">
        <is>
          <t>P111</t>
        </is>
      </c>
      <c r="I350" t="inlineStr">
        <is>
          <t>Mouse</t>
        </is>
      </c>
      <c r="J350" t="n">
        <v>2</v>
      </c>
      <c r="K350" s="3" t="n">
        <v>39</v>
      </c>
      <c r="L350" s="4" t="n">
        <v>0.1</v>
      </c>
      <c r="M350" s="3" t="n">
        <v>70.2</v>
      </c>
      <c r="N350" s="3" t="n">
        <v>750</v>
      </c>
      <c r="O350" s="2" t="n">
        <v>45826</v>
      </c>
      <c r="P350" s="2" t="n">
        <v>45833</v>
      </c>
      <c r="Q350" t="inlineStr">
        <is>
          <t>Cash</t>
        </is>
      </c>
      <c r="R350" t="inlineStr">
        <is>
          <t>New</t>
        </is>
      </c>
      <c r="S350" t="n">
        <v>5</v>
      </c>
      <c r="T350" t="inlineStr"/>
    </row>
    <row r="351">
      <c r="A351" t="inlineStr">
        <is>
          <t>O0350</t>
        </is>
      </c>
      <c r="B351" s="2" t="n">
        <v>45886</v>
      </c>
      <c r="C351" t="inlineStr">
        <is>
          <t>North</t>
        </is>
      </c>
      <c r="D351" t="inlineStr">
        <is>
          <t>Minnesota</t>
        </is>
      </c>
      <c r="E351" t="inlineStr">
        <is>
          <t>Amit Shah</t>
        </is>
      </c>
      <c r="F351" t="inlineStr">
        <is>
          <t>John Smith</t>
        </is>
      </c>
      <c r="G351" t="inlineStr">
        <is>
          <t>Monitor</t>
        </is>
      </c>
      <c r="H351" t="inlineStr">
        <is>
          <t>P109</t>
        </is>
      </c>
      <c r="I351" t="inlineStr">
        <is>
          <t>Monitor 24</t>
        </is>
      </c>
      <c r="J351" t="n">
        <v>5</v>
      </c>
      <c r="K351" s="3" t="n">
        <v>229</v>
      </c>
      <c r="L351" s="4" t="n">
        <v>0.02</v>
      </c>
      <c r="M351" s="3" t="n">
        <v>1122.1</v>
      </c>
      <c r="N351" s="3" t="n">
        <v>750</v>
      </c>
      <c r="O351" s="2" t="n">
        <v>45890</v>
      </c>
      <c r="P351" s="2" t="n">
        <v>45891</v>
      </c>
      <c r="Q351" t="inlineStr">
        <is>
          <t>Credit Card</t>
        </is>
      </c>
      <c r="R351" t="inlineStr">
        <is>
          <t>New</t>
        </is>
      </c>
      <c r="S351" t="n">
        <v>5</v>
      </c>
      <c r="T351" t="inlineStr">
        <is>
          <t>NORMAL</t>
        </is>
      </c>
    </row>
    <row r="352">
      <c r="A352" t="inlineStr">
        <is>
          <t>O0351</t>
        </is>
      </c>
      <c r="B352" s="2" t="n">
        <v>45765</v>
      </c>
      <c r="C352" t="inlineStr">
        <is>
          <t>East</t>
        </is>
      </c>
      <c r="D352" t="inlineStr">
        <is>
          <t>New Jersey</t>
        </is>
      </c>
      <c r="E352" t="inlineStr">
        <is>
          <t>Priya Patel</t>
        </is>
      </c>
      <c r="F352" t="inlineStr">
        <is>
          <t xml:space="preserve"> Rahul Shah </t>
        </is>
      </c>
      <c r="G352" t="inlineStr">
        <is>
          <t>Mobile</t>
        </is>
      </c>
      <c r="H352" t="inlineStr">
        <is>
          <t>P102</t>
        </is>
      </c>
      <c r="I352" t="inlineStr">
        <is>
          <t>Galaxy S24</t>
        </is>
      </c>
      <c r="J352" t="n">
        <v>11</v>
      </c>
      <c r="K352" s="3" t="n">
        <v>799</v>
      </c>
      <c r="L352" s="4" t="n">
        <v>0.1</v>
      </c>
      <c r="M352" s="3" t="n">
        <v>7910.1</v>
      </c>
      <c r="N352" s="3" t="n">
        <v>5000</v>
      </c>
      <c r="O352" s="2" t="n">
        <v>45767</v>
      </c>
      <c r="P352" s="2" t="n">
        <v>45774</v>
      </c>
      <c r="Q352" t="inlineStr">
        <is>
          <t>Bank Transfer</t>
        </is>
      </c>
      <c r="R352" t="inlineStr">
        <is>
          <t>Corporate</t>
        </is>
      </c>
      <c r="S352" t="n">
        <v>1</v>
      </c>
      <c r="T352" t="inlineStr">
        <is>
          <t>refund pending</t>
        </is>
      </c>
    </row>
    <row r="353">
      <c r="A353" t="inlineStr">
        <is>
          <t>O0352</t>
        </is>
      </c>
      <c r="B353" s="2" t="n">
        <v>45827</v>
      </c>
      <c r="C353" t="inlineStr">
        <is>
          <t>West</t>
        </is>
      </c>
      <c r="D353" t="inlineStr">
        <is>
          <t>California</t>
        </is>
      </c>
      <c r="E353" t="inlineStr">
        <is>
          <t>John Smith</t>
        </is>
      </c>
      <c r="F353" t="inlineStr">
        <is>
          <t>PRIYA PATEL</t>
        </is>
      </c>
      <c r="G353" t="inlineStr">
        <is>
          <t>Audio</t>
        </is>
      </c>
      <c r="H353" t="inlineStr">
        <is>
          <t>P108</t>
        </is>
      </c>
      <c r="I353" t="inlineStr">
        <is>
          <t>Buds Pro</t>
        </is>
      </c>
      <c r="J353" t="n">
        <v>2</v>
      </c>
      <c r="K353" s="3" t="n">
        <v>129</v>
      </c>
      <c r="L353" s="4" t="n">
        <v>0</v>
      </c>
      <c r="M353" s="3" t="n">
        <v>258</v>
      </c>
      <c r="N353" s="3" t="n">
        <v>500</v>
      </c>
      <c r="O353" s="2" t="n">
        <v>45828</v>
      </c>
      <c r="P353" s="2" t="n">
        <v>45829</v>
      </c>
      <c r="Q353" t="inlineStr">
        <is>
          <t>Credit Card</t>
        </is>
      </c>
      <c r="R353" t="inlineStr">
        <is>
          <t>Corporate</t>
        </is>
      </c>
      <c r="S353" t="n">
        <v>2</v>
      </c>
      <c r="T353" t="inlineStr">
        <is>
          <t>ok</t>
        </is>
      </c>
    </row>
    <row r="354">
      <c r="A354" t="inlineStr">
        <is>
          <t>O0353</t>
        </is>
      </c>
      <c r="B354" s="2" t="n">
        <v>45980</v>
      </c>
      <c r="C354" t="inlineStr">
        <is>
          <t>South</t>
        </is>
      </c>
      <c r="D354" t="inlineStr">
        <is>
          <t>Georgia</t>
        </is>
      </c>
      <c r="E354" t="inlineStr">
        <is>
          <t>Amit Shah</t>
        </is>
      </c>
      <c r="F354" t="inlineStr">
        <is>
          <t>Sara Khan</t>
        </is>
      </c>
      <c r="G354" t="inlineStr">
        <is>
          <t>Audio</t>
        </is>
      </c>
      <c r="H354" t="inlineStr">
        <is>
          <t>P108</t>
        </is>
      </c>
      <c r="I354" t="inlineStr">
        <is>
          <t>Buds Pro</t>
        </is>
      </c>
      <c r="J354" t="n">
        <v>6</v>
      </c>
      <c r="K354" s="3" t="n">
        <v>129</v>
      </c>
      <c r="L354" s="4" t="n">
        <v>0</v>
      </c>
      <c r="M354" s="3" t="n">
        <v>774</v>
      </c>
      <c r="N354" s="3" t="n">
        <v>1000</v>
      </c>
      <c r="O354" s="2" t="n">
        <v>45984</v>
      </c>
      <c r="P354" s="2" t="n">
        <v>45988</v>
      </c>
      <c r="Q354" t="inlineStr">
        <is>
          <t>Credit Card</t>
        </is>
      </c>
      <c r="R354" t="inlineStr">
        <is>
          <t>Corporate</t>
        </is>
      </c>
      <c r="S354" t="n">
        <v>5</v>
      </c>
      <c r="T354" t="inlineStr">
        <is>
          <t xml:space="preserve"> normal </t>
        </is>
      </c>
    </row>
    <row r="355">
      <c r="A355" t="inlineStr">
        <is>
          <t>O0354</t>
        </is>
      </c>
      <c r="B355" s="2" t="n">
        <v>45841</v>
      </c>
      <c r="C355" t="inlineStr">
        <is>
          <t>East</t>
        </is>
      </c>
      <c r="D355" t="inlineStr">
        <is>
          <t>New Jersey</t>
        </is>
      </c>
      <c r="E355" t="inlineStr">
        <is>
          <t>Rahul Mehta</t>
        </is>
      </c>
      <c r="F355" t="inlineStr">
        <is>
          <t xml:space="preserve"> Rahul Shah </t>
        </is>
      </c>
      <c r="G355" t="inlineStr">
        <is>
          <t>Mobile</t>
        </is>
      </c>
      <c r="H355" t="inlineStr">
        <is>
          <t>P102</t>
        </is>
      </c>
      <c r="I355" t="inlineStr">
        <is>
          <t>Galaxy S24</t>
        </is>
      </c>
      <c r="J355" t="n">
        <v>5</v>
      </c>
      <c r="K355" s="3" t="n">
        <v>799</v>
      </c>
      <c r="L355" s="4" t="n">
        <v>0.05</v>
      </c>
      <c r="M355" s="3" t="n">
        <v>3795.25</v>
      </c>
      <c r="N355" s="3" t="n">
        <v>1500</v>
      </c>
      <c r="O355" s="2" t="n">
        <v>45846</v>
      </c>
      <c r="P355" s="2" t="n">
        <v>45847</v>
      </c>
      <c r="Q355" t="inlineStr">
        <is>
          <t>Bank Transfer</t>
        </is>
      </c>
      <c r="R355" t="inlineStr">
        <is>
          <t>Returning</t>
        </is>
      </c>
      <c r="S355" t="n">
        <v>4</v>
      </c>
      <c r="T355" t="inlineStr"/>
    </row>
    <row r="356">
      <c r="A356" t="inlineStr">
        <is>
          <t>O0355</t>
        </is>
      </c>
      <c r="B356" s="2" t="n">
        <v>45931</v>
      </c>
      <c r="C356" t="inlineStr">
        <is>
          <t>East</t>
        </is>
      </c>
      <c r="D356" t="inlineStr">
        <is>
          <t>Massachusetts</t>
        </is>
      </c>
      <c r="E356" t="inlineStr">
        <is>
          <t>Rahul Mehta</t>
        </is>
      </c>
      <c r="F356" t="inlineStr">
        <is>
          <t>John Smith</t>
        </is>
      </c>
      <c r="G356" t="inlineStr">
        <is>
          <t>Laptop</t>
        </is>
      </c>
      <c r="H356" t="inlineStr">
        <is>
          <t>P103</t>
        </is>
      </c>
      <c r="I356" t="inlineStr">
        <is>
          <t>ThinkPad E14</t>
        </is>
      </c>
      <c r="J356" t="n">
        <v>12</v>
      </c>
      <c r="K356" s="3" t="n">
        <v>899</v>
      </c>
      <c r="L356" s="4" t="n">
        <v>0.1</v>
      </c>
      <c r="M356" s="3" t="n">
        <v>9709.200000000001</v>
      </c>
      <c r="N356" s="3" t="n">
        <v>5000</v>
      </c>
      <c r="O356" s="2" t="n">
        <v>45933</v>
      </c>
      <c r="P356" s="2" t="n">
        <v>45935</v>
      </c>
      <c r="Q356" t="inlineStr">
        <is>
          <t>UPI</t>
        </is>
      </c>
      <c r="R356" t="inlineStr">
        <is>
          <t>Returning</t>
        </is>
      </c>
      <c r="S356" t="n">
        <v>3</v>
      </c>
      <c r="T356" t="inlineStr">
        <is>
          <t xml:space="preserve"> normal </t>
        </is>
      </c>
    </row>
    <row r="357">
      <c r="A357" t="inlineStr">
        <is>
          <t>O0356</t>
        </is>
      </c>
      <c r="B357" s="2" t="n">
        <v>45660</v>
      </c>
      <c r="C357" t="inlineStr">
        <is>
          <t>West</t>
        </is>
      </c>
      <c r="D357" t="inlineStr">
        <is>
          <t>California</t>
        </is>
      </c>
      <c r="E357" t="inlineStr">
        <is>
          <t>Rahul Mehta</t>
        </is>
      </c>
      <c r="F357" t="inlineStr">
        <is>
          <t xml:space="preserve"> Rahul Shah </t>
        </is>
      </c>
      <c r="G357" t="inlineStr">
        <is>
          <t>Mobile</t>
        </is>
      </c>
      <c r="H357" t="inlineStr">
        <is>
          <t>P101</t>
        </is>
      </c>
      <c r="I357" t="inlineStr">
        <is>
          <t>iPhone 15</t>
        </is>
      </c>
      <c r="J357" t="n">
        <v>7</v>
      </c>
      <c r="K357" s="3" t="n">
        <v>699</v>
      </c>
      <c r="L357" s="4" t="n">
        <v>0.15</v>
      </c>
      <c r="M357" s="3" t="n">
        <v>4159.05</v>
      </c>
      <c r="N357" s="3" t="n">
        <v>1500</v>
      </c>
      <c r="O357" s="2" t="n">
        <v>45665</v>
      </c>
      <c r="P357" s="2" t="n">
        <v>45670</v>
      </c>
      <c r="Q357" t="inlineStr">
        <is>
          <t>UPI</t>
        </is>
      </c>
      <c r="R357" t="inlineStr">
        <is>
          <t>Corporate</t>
        </is>
      </c>
      <c r="S357" t="n">
        <v>3</v>
      </c>
      <c r="T357" t="inlineStr">
        <is>
          <t>urgent</t>
        </is>
      </c>
    </row>
    <row r="358">
      <c r="A358" t="inlineStr">
        <is>
          <t>O0357</t>
        </is>
      </c>
      <c r="B358" s="2" t="n">
        <v>45730</v>
      </c>
      <c r="C358" t="inlineStr">
        <is>
          <t>South</t>
        </is>
      </c>
      <c r="D358" t="inlineStr">
        <is>
          <t>Texas</t>
        </is>
      </c>
      <c r="E358" t="inlineStr">
        <is>
          <t>Priya Patel</t>
        </is>
      </c>
      <c r="F358" t="inlineStr">
        <is>
          <t>PRIYA PATEL</t>
        </is>
      </c>
      <c r="G358" t="inlineStr">
        <is>
          <t>Monitor</t>
        </is>
      </c>
      <c r="H358" t="inlineStr">
        <is>
          <t>P109</t>
        </is>
      </c>
      <c r="I358" t="inlineStr">
        <is>
          <t>Monitor 24</t>
        </is>
      </c>
      <c r="J358" t="n">
        <v>4</v>
      </c>
      <c r="K358" s="3" t="n">
        <v>229</v>
      </c>
      <c r="L358" s="4" t="n">
        <v>0.15</v>
      </c>
      <c r="M358" s="3" t="n">
        <v>778.6</v>
      </c>
      <c r="N358" s="3" t="n">
        <v>5000</v>
      </c>
      <c r="O358" s="2" t="n">
        <v>45732</v>
      </c>
      <c r="P358" s="2" t="n">
        <v>45734</v>
      </c>
      <c r="Q358" t="inlineStr">
        <is>
          <t>Credit Card</t>
        </is>
      </c>
      <c r="R358" t="inlineStr">
        <is>
          <t>New</t>
        </is>
      </c>
      <c r="S358" t="n">
        <v>5</v>
      </c>
      <c r="T358" t="inlineStr"/>
    </row>
    <row r="359">
      <c r="A359" t="inlineStr">
        <is>
          <t>O0358</t>
        </is>
      </c>
      <c r="B359" s="2" t="n">
        <v>45988</v>
      </c>
      <c r="C359" t="inlineStr">
        <is>
          <t>East</t>
        </is>
      </c>
      <c r="D359" t="inlineStr">
        <is>
          <t>New Jersey</t>
        </is>
      </c>
      <c r="E359" t="inlineStr">
        <is>
          <t>Priya Patel</t>
        </is>
      </c>
      <c r="F359" t="inlineStr">
        <is>
          <t xml:space="preserve"> Rahul Shah </t>
        </is>
      </c>
      <c r="G359" t="inlineStr">
        <is>
          <t>Audio</t>
        </is>
      </c>
      <c r="H359" t="inlineStr">
        <is>
          <t>P108</t>
        </is>
      </c>
      <c r="I359" t="inlineStr">
        <is>
          <t>Buds Pro</t>
        </is>
      </c>
      <c r="J359" t="n">
        <v>5</v>
      </c>
      <c r="K359" s="3" t="n">
        <v>129</v>
      </c>
      <c r="L359" s="4" t="n">
        <v>0</v>
      </c>
      <c r="M359" s="3" t="n">
        <v>645</v>
      </c>
      <c r="N359" s="3" t="n">
        <v>750</v>
      </c>
      <c r="O359" s="2" t="n">
        <v>45993</v>
      </c>
      <c r="P359" s="2" t="n">
        <v>45994</v>
      </c>
      <c r="Q359" t="inlineStr">
        <is>
          <t>Bank Transfer</t>
        </is>
      </c>
      <c r="R359" t="inlineStr">
        <is>
          <t>Returning</t>
        </is>
      </c>
      <c r="S359" t="n">
        <v>3</v>
      </c>
      <c r="T359" t="inlineStr">
        <is>
          <t>urgent</t>
        </is>
      </c>
    </row>
    <row r="360">
      <c r="A360" t="inlineStr">
        <is>
          <t>O0359</t>
        </is>
      </c>
      <c r="B360" s="2" t="n">
        <v>45975</v>
      </c>
      <c r="C360" t="inlineStr">
        <is>
          <t>West</t>
        </is>
      </c>
      <c r="D360" t="inlineStr">
        <is>
          <t>California</t>
        </is>
      </c>
      <c r="E360" t="inlineStr">
        <is>
          <t>John Smith</t>
        </is>
      </c>
      <c r="F360" t="inlineStr">
        <is>
          <t>PRIYA PATEL</t>
        </is>
      </c>
      <c r="G360" t="inlineStr">
        <is>
          <t>Tablet</t>
        </is>
      </c>
      <c r="H360" t="inlineStr">
        <is>
          <t>P105</t>
        </is>
      </c>
      <c r="I360" t="inlineStr">
        <is>
          <t>iPad Air</t>
        </is>
      </c>
      <c r="J360" t="n">
        <v>6</v>
      </c>
      <c r="K360" s="3" t="n">
        <v>599</v>
      </c>
      <c r="L360" s="4" t="n">
        <v>0.1</v>
      </c>
      <c r="M360" s="3" t="n">
        <v>3234.6</v>
      </c>
      <c r="N360" s="3" t="n">
        <v>1000</v>
      </c>
      <c r="O360" s="2" t="n">
        <v>45976</v>
      </c>
      <c r="P360" s="2" t="n">
        <v>45978</v>
      </c>
      <c r="Q360" t="inlineStr">
        <is>
          <t>Cash</t>
        </is>
      </c>
      <c r="R360" t="inlineStr">
        <is>
          <t>Corporate</t>
        </is>
      </c>
      <c r="S360" t="n">
        <v>5</v>
      </c>
      <c r="T360" t="inlineStr">
        <is>
          <t>urgent</t>
        </is>
      </c>
    </row>
    <row r="361">
      <c r="A361" t="inlineStr">
        <is>
          <t>O0360</t>
        </is>
      </c>
      <c r="B361" s="2" t="n">
        <v>45744</v>
      </c>
      <c r="C361" t="inlineStr">
        <is>
          <t>North</t>
        </is>
      </c>
      <c r="D361" t="inlineStr">
        <is>
          <t>Michigan</t>
        </is>
      </c>
      <c r="E361" t="inlineStr">
        <is>
          <t>Sara Khan</t>
        </is>
      </c>
      <c r="F361" t="inlineStr">
        <is>
          <t>Sara Khan</t>
        </is>
      </c>
      <c r="G361" t="inlineStr">
        <is>
          <t>Audio</t>
        </is>
      </c>
      <c r="H361" t="inlineStr">
        <is>
          <t>P107</t>
        </is>
      </c>
      <c r="I361" t="inlineStr">
        <is>
          <t>AirPods</t>
        </is>
      </c>
      <c r="J361" t="n">
        <v>4</v>
      </c>
      <c r="K361" s="3" t="n">
        <v>179</v>
      </c>
      <c r="L361" s="4" t="n">
        <v>0.02</v>
      </c>
      <c r="M361" s="3" t="n">
        <v>701.6799999999999</v>
      </c>
      <c r="N361" s="3" t="n">
        <v>2500</v>
      </c>
      <c r="O361" s="2" t="n">
        <v>45745</v>
      </c>
      <c r="P361" s="2" t="n">
        <v>45748</v>
      </c>
      <c r="Q361" t="inlineStr">
        <is>
          <t>Bank Transfer</t>
        </is>
      </c>
      <c r="R361" t="inlineStr">
        <is>
          <t>Returning</t>
        </is>
      </c>
      <c r="S361" t="n">
        <v>3</v>
      </c>
      <c r="T361" t="inlineStr">
        <is>
          <t>urgent</t>
        </is>
      </c>
    </row>
    <row r="362">
      <c r="A362" t="inlineStr">
        <is>
          <t>O0361</t>
        </is>
      </c>
      <c r="B362" s="2" t="n">
        <v>45886</v>
      </c>
      <c r="C362" t="inlineStr">
        <is>
          <t>North</t>
        </is>
      </c>
      <c r="D362" t="inlineStr">
        <is>
          <t>Michigan</t>
        </is>
      </c>
      <c r="E362" t="inlineStr">
        <is>
          <t>Priya Patel</t>
        </is>
      </c>
      <c r="F362" t="inlineStr">
        <is>
          <t xml:space="preserve"> Rahul Shah </t>
        </is>
      </c>
      <c r="G362" t="inlineStr">
        <is>
          <t>Audio</t>
        </is>
      </c>
      <c r="H362" t="inlineStr">
        <is>
          <t>P108</t>
        </is>
      </c>
      <c r="I362" t="inlineStr">
        <is>
          <t>Buds Pro</t>
        </is>
      </c>
      <c r="J362" t="n">
        <v>5</v>
      </c>
      <c r="K362" s="3" t="n">
        <v>129</v>
      </c>
      <c r="L362" s="4" t="n">
        <v>0.1</v>
      </c>
      <c r="M362" s="3" t="n">
        <v>580.5</v>
      </c>
      <c r="N362" s="3" t="n">
        <v>1500</v>
      </c>
      <c r="O362" s="2" t="n">
        <v>45889</v>
      </c>
      <c r="P362" s="2" t="n">
        <v>45896</v>
      </c>
      <c r="Q362" t="inlineStr">
        <is>
          <t>Credit Card</t>
        </is>
      </c>
      <c r="R362" t="inlineStr">
        <is>
          <t>Returning</t>
        </is>
      </c>
      <c r="S362" t="n">
        <v>2</v>
      </c>
      <c r="T362" t="inlineStr">
        <is>
          <t>NORMAL</t>
        </is>
      </c>
    </row>
    <row r="363">
      <c r="A363" t="inlineStr">
        <is>
          <t>O0362</t>
        </is>
      </c>
      <c r="B363" s="2" t="n">
        <v>45978</v>
      </c>
      <c r="C363" t="inlineStr">
        <is>
          <t>West</t>
        </is>
      </c>
      <c r="D363" t="inlineStr">
        <is>
          <t>Texas</t>
        </is>
      </c>
      <c r="E363" t="inlineStr">
        <is>
          <t>Sara Khan</t>
        </is>
      </c>
      <c r="F363" t="inlineStr">
        <is>
          <t>John Smith</t>
        </is>
      </c>
      <c r="G363" t="inlineStr">
        <is>
          <t>Accessory</t>
        </is>
      </c>
      <c r="H363" t="inlineStr">
        <is>
          <t>P112</t>
        </is>
      </c>
      <c r="I363" t="inlineStr">
        <is>
          <t>PowerBank</t>
        </is>
      </c>
      <c r="J363" t="n">
        <v>2</v>
      </c>
      <c r="K363" s="3" t="n">
        <v>49</v>
      </c>
      <c r="L363" s="4" t="n">
        <v>0</v>
      </c>
      <c r="M363" s="3" t="n">
        <v>98</v>
      </c>
      <c r="N363" s="3" t="n">
        <v>5000</v>
      </c>
      <c r="O363" s="2" t="n">
        <v>45979</v>
      </c>
      <c r="P363" s="2" t="n">
        <v>45985</v>
      </c>
      <c r="Q363" t="inlineStr">
        <is>
          <t>Credit Card</t>
        </is>
      </c>
      <c r="R363" t="inlineStr">
        <is>
          <t>Corporate</t>
        </is>
      </c>
      <c r="S363" t="n">
        <v>5</v>
      </c>
      <c r="T363" t="inlineStr">
        <is>
          <t xml:space="preserve">  follow-up  </t>
        </is>
      </c>
    </row>
    <row r="364">
      <c r="A364" t="inlineStr">
        <is>
          <t>O0363</t>
        </is>
      </c>
      <c r="B364" s="2" t="n">
        <v>45791</v>
      </c>
      <c r="C364" t="inlineStr">
        <is>
          <t>West</t>
        </is>
      </c>
      <c r="D364" t="inlineStr">
        <is>
          <t>California</t>
        </is>
      </c>
      <c r="E364" t="inlineStr">
        <is>
          <t>Priya Patel</t>
        </is>
      </c>
      <c r="F364" t="inlineStr">
        <is>
          <t xml:space="preserve"> Neha  Joshi </t>
        </is>
      </c>
      <c r="G364" t="inlineStr">
        <is>
          <t>Monitor</t>
        </is>
      </c>
      <c r="H364" t="inlineStr">
        <is>
          <t>P109</t>
        </is>
      </c>
      <c r="I364" t="inlineStr">
        <is>
          <t>Monitor 24</t>
        </is>
      </c>
      <c r="J364" t="n">
        <v>8</v>
      </c>
      <c r="K364" s="3" t="n">
        <v>229</v>
      </c>
      <c r="L364" s="4" t="n">
        <v>0.02</v>
      </c>
      <c r="M364" s="3" t="n">
        <v>1795.36</v>
      </c>
      <c r="N364" s="3" t="n">
        <v>750</v>
      </c>
      <c r="O364" s="2" t="n">
        <v>45796</v>
      </c>
      <c r="P364" s="2" t="n">
        <v>45801</v>
      </c>
      <c r="Q364" t="inlineStr">
        <is>
          <t>Cash</t>
        </is>
      </c>
      <c r="R364" t="inlineStr">
        <is>
          <t>New</t>
        </is>
      </c>
      <c r="S364" t="n">
        <v>4</v>
      </c>
      <c r="T364" t="inlineStr">
        <is>
          <t>NORMAL</t>
        </is>
      </c>
    </row>
    <row r="365">
      <c r="A365" t="inlineStr">
        <is>
          <t>O0364</t>
        </is>
      </c>
      <c r="B365" s="2" t="n">
        <v>45915</v>
      </c>
      <c r="C365" t="inlineStr">
        <is>
          <t>East</t>
        </is>
      </c>
      <c r="D365" t="inlineStr">
        <is>
          <t>Massachusetts</t>
        </is>
      </c>
      <c r="E365" t="inlineStr">
        <is>
          <t>John Smith</t>
        </is>
      </c>
      <c r="F365" t="inlineStr">
        <is>
          <t>rAhUl shAh</t>
        </is>
      </c>
      <c r="G365" t="inlineStr">
        <is>
          <t>Tablet</t>
        </is>
      </c>
      <c r="H365" t="inlineStr">
        <is>
          <t>P106</t>
        </is>
      </c>
      <c r="I365" t="inlineStr">
        <is>
          <t>Galaxy Tab</t>
        </is>
      </c>
      <c r="J365" t="n">
        <v>4</v>
      </c>
      <c r="K365" s="3" t="n">
        <v>499</v>
      </c>
      <c r="L365" s="4" t="n">
        <v>0.15</v>
      </c>
      <c r="M365" s="3" t="n">
        <v>1696.6</v>
      </c>
      <c r="N365" s="3" t="n">
        <v>2500</v>
      </c>
      <c r="O365" s="2" t="n">
        <v>45916</v>
      </c>
      <c r="P365" s="2" t="n">
        <v>45922</v>
      </c>
      <c r="Q365" t="inlineStr">
        <is>
          <t>UPI</t>
        </is>
      </c>
      <c r="R365" t="inlineStr">
        <is>
          <t>Returning</t>
        </is>
      </c>
      <c r="S365" t="n">
        <v>2</v>
      </c>
      <c r="T365" t="inlineStr">
        <is>
          <t>urgent</t>
        </is>
      </c>
    </row>
    <row r="366">
      <c r="A366" t="inlineStr">
        <is>
          <t>O0365</t>
        </is>
      </c>
      <c r="B366" s="2" t="n">
        <v>45905</v>
      </c>
      <c r="C366" t="inlineStr">
        <is>
          <t>West</t>
        </is>
      </c>
      <c r="D366" t="inlineStr">
        <is>
          <t>Washington</t>
        </is>
      </c>
      <c r="E366" t="inlineStr">
        <is>
          <t>Rahul Mehta</t>
        </is>
      </c>
      <c r="F366" t="inlineStr">
        <is>
          <t xml:space="preserve"> Rahul Shah </t>
        </is>
      </c>
      <c r="G366" t="inlineStr">
        <is>
          <t>Accessory</t>
        </is>
      </c>
      <c r="H366" t="inlineStr">
        <is>
          <t>P112</t>
        </is>
      </c>
      <c r="I366" t="inlineStr">
        <is>
          <t>PowerBank</t>
        </is>
      </c>
      <c r="J366" t="n">
        <v>4</v>
      </c>
      <c r="K366" s="3" t="n">
        <v>49</v>
      </c>
      <c r="L366" s="4" t="n">
        <v>0.1</v>
      </c>
      <c r="M366" s="3" t="n">
        <v>176.4</v>
      </c>
      <c r="N366" s="3" t="n">
        <v>500</v>
      </c>
      <c r="O366" s="2" t="n">
        <v>45908</v>
      </c>
      <c r="P366" s="2" t="n">
        <v>45909</v>
      </c>
      <c r="Q366" t="inlineStr">
        <is>
          <t>Cash</t>
        </is>
      </c>
      <c r="R366" t="inlineStr">
        <is>
          <t>New</t>
        </is>
      </c>
      <c r="S366" t="n">
        <v>1</v>
      </c>
      <c r="T366" t="inlineStr">
        <is>
          <t>refund pending</t>
        </is>
      </c>
    </row>
    <row r="367">
      <c r="A367" t="inlineStr">
        <is>
          <t>O0366</t>
        </is>
      </c>
      <c r="B367" s="2" t="n">
        <v>45856</v>
      </c>
      <c r="C367" t="inlineStr">
        <is>
          <t>West</t>
        </is>
      </c>
      <c r="D367" t="inlineStr">
        <is>
          <t>Washington</t>
        </is>
      </c>
      <c r="E367" t="inlineStr">
        <is>
          <t>Rahul Mehta</t>
        </is>
      </c>
      <c r="F367" t="inlineStr">
        <is>
          <t>Sara Khan</t>
        </is>
      </c>
      <c r="G367" t="inlineStr">
        <is>
          <t>Tablet</t>
        </is>
      </c>
      <c r="H367" t="inlineStr">
        <is>
          <t>P106</t>
        </is>
      </c>
      <c r="I367" t="inlineStr">
        <is>
          <t>Galaxy Tab</t>
        </is>
      </c>
      <c r="J367" t="n">
        <v>15</v>
      </c>
      <c r="K367" s="3" t="n">
        <v>499</v>
      </c>
      <c r="L367" s="4" t="n">
        <v>0</v>
      </c>
      <c r="M367" s="3" t="n">
        <v>7485</v>
      </c>
      <c r="N367" s="3" t="n">
        <v>300</v>
      </c>
      <c r="O367" s="2" t="n">
        <v>45860</v>
      </c>
      <c r="P367" s="2" t="n">
        <v>45864</v>
      </c>
      <c r="Q367" t="inlineStr">
        <is>
          <t>Credit Card</t>
        </is>
      </c>
      <c r="R367" t="inlineStr">
        <is>
          <t>Corporate</t>
        </is>
      </c>
      <c r="S367" t="n">
        <v>5</v>
      </c>
      <c r="T367" t="inlineStr">
        <is>
          <t>refund pending</t>
        </is>
      </c>
    </row>
    <row r="368">
      <c r="A368" t="inlineStr">
        <is>
          <t>O0367</t>
        </is>
      </c>
      <c r="B368" s="2" t="n">
        <v>45954</v>
      </c>
      <c r="C368" t="inlineStr">
        <is>
          <t>North</t>
        </is>
      </c>
      <c r="D368" t="inlineStr">
        <is>
          <t>Minnesota</t>
        </is>
      </c>
      <c r="E368" t="inlineStr">
        <is>
          <t>Rahul Mehta</t>
        </is>
      </c>
      <c r="F368" t="inlineStr">
        <is>
          <t xml:space="preserve"> Neha  Joshi </t>
        </is>
      </c>
      <c r="G368" t="inlineStr">
        <is>
          <t>Tablet</t>
        </is>
      </c>
      <c r="H368" t="inlineStr">
        <is>
          <t>P105</t>
        </is>
      </c>
      <c r="I368" t="inlineStr">
        <is>
          <t>iPad Air</t>
        </is>
      </c>
      <c r="J368" t="n">
        <v>3</v>
      </c>
      <c r="K368" s="3" t="n">
        <v>599</v>
      </c>
      <c r="L368" s="4" t="n">
        <v>0.1</v>
      </c>
      <c r="M368" s="3" t="n">
        <v>1617.3</v>
      </c>
      <c r="N368" s="3" t="n">
        <v>2500</v>
      </c>
      <c r="O368" s="2" t="n">
        <v>45959</v>
      </c>
      <c r="P368" s="2" t="n">
        <v>45964</v>
      </c>
      <c r="Q368" t="inlineStr">
        <is>
          <t>Credit Card</t>
        </is>
      </c>
      <c r="R368" t="inlineStr">
        <is>
          <t>Corporate</t>
        </is>
      </c>
      <c r="S368" t="n">
        <v>3</v>
      </c>
      <c r="T368" t="inlineStr">
        <is>
          <t xml:space="preserve">  follow-up  </t>
        </is>
      </c>
    </row>
    <row r="369">
      <c r="A369" t="inlineStr">
        <is>
          <t>O0368</t>
        </is>
      </c>
      <c r="B369" s="2" t="n">
        <v>45838</v>
      </c>
      <c r="C369" t="inlineStr">
        <is>
          <t>West</t>
        </is>
      </c>
      <c r="D369" t="inlineStr">
        <is>
          <t>Washington</t>
        </is>
      </c>
      <c r="E369" t="inlineStr">
        <is>
          <t>John Smith</t>
        </is>
      </c>
      <c r="F369" t="inlineStr">
        <is>
          <t xml:space="preserve"> Rahul Shah </t>
        </is>
      </c>
      <c r="G369" t="inlineStr">
        <is>
          <t>Audio</t>
        </is>
      </c>
      <c r="H369" t="inlineStr">
        <is>
          <t>P107</t>
        </is>
      </c>
      <c r="I369" t="inlineStr">
        <is>
          <t>AirPods</t>
        </is>
      </c>
      <c r="J369" t="n">
        <v>13</v>
      </c>
      <c r="K369" s="3" t="n">
        <v>179</v>
      </c>
      <c r="L369" s="4" t="n">
        <v>0.1</v>
      </c>
      <c r="M369" s="3" t="n">
        <v>2094.3</v>
      </c>
      <c r="N369" s="3" t="n">
        <v>1500</v>
      </c>
      <c r="O369" s="2" t="n">
        <v>45841</v>
      </c>
      <c r="P369" s="2" t="n">
        <v>45845</v>
      </c>
      <c r="Q369" t="inlineStr">
        <is>
          <t>UPI</t>
        </is>
      </c>
      <c r="R369" t="inlineStr">
        <is>
          <t>Returning</t>
        </is>
      </c>
      <c r="S369" t="n">
        <v>2</v>
      </c>
      <c r="T369" t="inlineStr">
        <is>
          <t>urgent</t>
        </is>
      </c>
    </row>
    <row r="370">
      <c r="A370" t="inlineStr">
        <is>
          <t>O0369</t>
        </is>
      </c>
      <c r="B370" s="2" t="n">
        <v>45801</v>
      </c>
      <c r="C370" t="inlineStr">
        <is>
          <t>East</t>
        </is>
      </c>
      <c r="D370" t="inlineStr">
        <is>
          <t>New Jersey</t>
        </is>
      </c>
      <c r="E370" t="inlineStr">
        <is>
          <t>Sara Khan</t>
        </is>
      </c>
      <c r="F370" t="inlineStr">
        <is>
          <t>John Smith</t>
        </is>
      </c>
      <c r="G370" t="inlineStr">
        <is>
          <t>Accessory</t>
        </is>
      </c>
      <c r="H370" t="inlineStr">
        <is>
          <t>P111</t>
        </is>
      </c>
      <c r="I370" t="inlineStr">
        <is>
          <t>Mouse</t>
        </is>
      </c>
      <c r="J370" t="n">
        <v>3</v>
      </c>
      <c r="K370" s="3" t="n">
        <v>39</v>
      </c>
      <c r="L370" s="4" t="n">
        <v>0.02</v>
      </c>
      <c r="M370" s="3" t="n">
        <v>114.66</v>
      </c>
      <c r="N370" s="3" t="n">
        <v>750</v>
      </c>
      <c r="O370" s="2" t="n">
        <v>45803</v>
      </c>
      <c r="P370" s="2" t="n">
        <v>45805</v>
      </c>
      <c r="Q370" t="inlineStr">
        <is>
          <t>Credit Card</t>
        </is>
      </c>
      <c r="R370" t="inlineStr">
        <is>
          <t>Corporate</t>
        </is>
      </c>
      <c r="S370" t="n">
        <v>2</v>
      </c>
      <c r="T370" t="inlineStr">
        <is>
          <t xml:space="preserve">  follow-up  </t>
        </is>
      </c>
    </row>
    <row r="371">
      <c r="A371" t="inlineStr">
        <is>
          <t>O0370</t>
        </is>
      </c>
      <c r="B371" s="2" t="n">
        <v>45904</v>
      </c>
      <c r="C371" t="inlineStr">
        <is>
          <t>North</t>
        </is>
      </c>
      <c r="D371" t="inlineStr">
        <is>
          <t>Minnesota</t>
        </is>
      </c>
      <c r="E371" t="inlineStr">
        <is>
          <t>Neha Joshi</t>
        </is>
      </c>
      <c r="F371" t="inlineStr">
        <is>
          <t xml:space="preserve">Sara Khan </t>
        </is>
      </c>
      <c r="G371" t="inlineStr">
        <is>
          <t>Mobile</t>
        </is>
      </c>
      <c r="H371" t="inlineStr">
        <is>
          <t>P102</t>
        </is>
      </c>
      <c r="I371" t="inlineStr">
        <is>
          <t>Galaxy S24</t>
        </is>
      </c>
      <c r="J371" t="n">
        <v>4</v>
      </c>
      <c r="K371" s="3" t="n">
        <v>799</v>
      </c>
      <c r="L371" s="4" t="n">
        <v>0.15</v>
      </c>
      <c r="M371" s="3" t="n">
        <v>2716.6</v>
      </c>
      <c r="N371" s="3" t="n">
        <v>500</v>
      </c>
      <c r="O371" s="2" t="n">
        <v>45908</v>
      </c>
      <c r="P371" s="2" t="n">
        <v>45912</v>
      </c>
      <c r="Q371" t="inlineStr">
        <is>
          <t>Credit Card</t>
        </is>
      </c>
      <c r="R371" t="inlineStr">
        <is>
          <t>New</t>
        </is>
      </c>
      <c r="S371" t="n">
        <v>1</v>
      </c>
      <c r="T371" t="inlineStr">
        <is>
          <t>urgent</t>
        </is>
      </c>
    </row>
    <row r="372">
      <c r="A372" t="inlineStr">
        <is>
          <t>O0371</t>
        </is>
      </c>
      <c r="B372" s="2" t="n">
        <v>45920</v>
      </c>
      <c r="C372" t="inlineStr">
        <is>
          <t>West</t>
        </is>
      </c>
      <c r="D372" t="inlineStr">
        <is>
          <t>California</t>
        </is>
      </c>
      <c r="E372" t="inlineStr">
        <is>
          <t>Priya Patel</t>
        </is>
      </c>
      <c r="F372" t="inlineStr">
        <is>
          <t>PRIYA PATEL</t>
        </is>
      </c>
      <c r="G372" t="inlineStr">
        <is>
          <t>Accessory</t>
        </is>
      </c>
      <c r="H372" t="inlineStr">
        <is>
          <t>P111</t>
        </is>
      </c>
      <c r="I372" t="inlineStr">
        <is>
          <t>Mouse</t>
        </is>
      </c>
      <c r="J372" t="n">
        <v>3</v>
      </c>
      <c r="K372" s="3" t="n">
        <v>39</v>
      </c>
      <c r="L372" s="4" t="n">
        <v>0</v>
      </c>
      <c r="M372" s="3" t="n">
        <v>117</v>
      </c>
      <c r="N372" s="3" t="n">
        <v>500</v>
      </c>
      <c r="O372" s="2" t="n">
        <v>45921</v>
      </c>
      <c r="P372" s="2" t="n">
        <v>45926</v>
      </c>
      <c r="Q372" t="inlineStr">
        <is>
          <t>Bank Transfer</t>
        </is>
      </c>
      <c r="R372" t="inlineStr">
        <is>
          <t>Corporate</t>
        </is>
      </c>
      <c r="S372" t="n">
        <v>5</v>
      </c>
      <c r="T372" t="inlineStr">
        <is>
          <t>refund pending</t>
        </is>
      </c>
    </row>
    <row r="373">
      <c r="A373" t="inlineStr">
        <is>
          <t>O0372</t>
        </is>
      </c>
      <c r="B373" s="2" t="n">
        <v>45996</v>
      </c>
      <c r="C373" t="inlineStr">
        <is>
          <t>East</t>
        </is>
      </c>
      <c r="D373" t="inlineStr">
        <is>
          <t>New Jersey</t>
        </is>
      </c>
      <c r="E373" t="inlineStr">
        <is>
          <t>Neha Joshi</t>
        </is>
      </c>
      <c r="F373" t="inlineStr">
        <is>
          <t xml:space="preserve"> Neha  Joshi </t>
        </is>
      </c>
      <c r="G373" t="inlineStr">
        <is>
          <t>Accessory</t>
        </is>
      </c>
      <c r="H373" t="inlineStr">
        <is>
          <t>P112</t>
        </is>
      </c>
      <c r="I373" t="inlineStr">
        <is>
          <t>PowerBank</t>
        </is>
      </c>
      <c r="J373" t="n">
        <v>4</v>
      </c>
      <c r="K373" s="3" t="n">
        <v>49</v>
      </c>
      <c r="L373" s="4" t="n">
        <v>0.1</v>
      </c>
      <c r="M373" s="3" t="n">
        <v>176.4</v>
      </c>
      <c r="N373" s="3" t="n">
        <v>1500</v>
      </c>
      <c r="O373" s="2" t="n">
        <v>45999</v>
      </c>
      <c r="P373" s="2" t="n">
        <v>46000</v>
      </c>
      <c r="Q373" t="inlineStr">
        <is>
          <t>UPI</t>
        </is>
      </c>
      <c r="R373" t="inlineStr">
        <is>
          <t>New</t>
        </is>
      </c>
      <c r="S373" t="n">
        <v>4</v>
      </c>
      <c r="T373" t="inlineStr">
        <is>
          <t>NORMAL</t>
        </is>
      </c>
    </row>
    <row r="374">
      <c r="A374" t="inlineStr">
        <is>
          <t>O0373</t>
        </is>
      </c>
      <c r="B374" s="2" t="n">
        <v>45977</v>
      </c>
      <c r="C374" t="inlineStr">
        <is>
          <t>West</t>
        </is>
      </c>
      <c r="D374" t="inlineStr">
        <is>
          <t>Washington</t>
        </is>
      </c>
      <c r="E374" t="inlineStr">
        <is>
          <t>John Smith</t>
        </is>
      </c>
      <c r="F374" t="inlineStr">
        <is>
          <t>John Smith</t>
        </is>
      </c>
      <c r="G374" t="inlineStr">
        <is>
          <t>Laptop</t>
        </is>
      </c>
      <c r="H374" t="inlineStr">
        <is>
          <t>P103</t>
        </is>
      </c>
      <c r="I374" t="inlineStr">
        <is>
          <t>ThinkPad E14</t>
        </is>
      </c>
      <c r="J374" t="n">
        <v>3</v>
      </c>
      <c r="K374" s="3" t="n">
        <v>899</v>
      </c>
      <c r="L374" s="4" t="n">
        <v>0.05</v>
      </c>
      <c r="M374" s="3" t="n">
        <v>2562.15</v>
      </c>
      <c r="N374" s="3" t="n">
        <v>1000</v>
      </c>
      <c r="O374" s="2" t="n">
        <v>45982</v>
      </c>
      <c r="P374" s="2" t="n">
        <v>45985</v>
      </c>
      <c r="Q374" t="inlineStr">
        <is>
          <t>Credit Card</t>
        </is>
      </c>
      <c r="R374" t="inlineStr">
        <is>
          <t>New</t>
        </is>
      </c>
      <c r="S374" t="n">
        <v>4</v>
      </c>
      <c r="T374" t="inlineStr">
        <is>
          <t xml:space="preserve">  follow-up  </t>
        </is>
      </c>
    </row>
    <row r="375">
      <c r="A375" t="inlineStr">
        <is>
          <t>O0374</t>
        </is>
      </c>
      <c r="B375" s="2" t="n">
        <v>45761</v>
      </c>
      <c r="C375" t="inlineStr">
        <is>
          <t>West</t>
        </is>
      </c>
      <c r="D375" t="inlineStr">
        <is>
          <t>California</t>
        </is>
      </c>
      <c r="E375" t="inlineStr">
        <is>
          <t>Priya Patel</t>
        </is>
      </c>
      <c r="F375" t="inlineStr">
        <is>
          <t xml:space="preserve"> Neha  Joshi </t>
        </is>
      </c>
      <c r="G375" t="inlineStr">
        <is>
          <t>Mobile</t>
        </is>
      </c>
      <c r="H375" t="inlineStr">
        <is>
          <t>P101</t>
        </is>
      </c>
      <c r="I375" t="inlineStr">
        <is>
          <t>iPhone 15</t>
        </is>
      </c>
      <c r="J375" t="n">
        <v>15</v>
      </c>
      <c r="K375" s="3" t="n">
        <v>699</v>
      </c>
      <c r="L375" s="4" t="n">
        <v>0.15</v>
      </c>
      <c r="M375" s="3" t="n">
        <v>8912.25</v>
      </c>
      <c r="N375" s="3" t="n">
        <v>2500</v>
      </c>
      <c r="O375" s="2" t="n">
        <v>45766</v>
      </c>
      <c r="P375" s="2" t="n">
        <v>45773</v>
      </c>
      <c r="Q375" t="inlineStr">
        <is>
          <t>Credit Card</t>
        </is>
      </c>
      <c r="R375" t="inlineStr">
        <is>
          <t>New</t>
        </is>
      </c>
      <c r="S375" t="n">
        <v>4</v>
      </c>
      <c r="T375" t="inlineStr">
        <is>
          <t>NORMAL</t>
        </is>
      </c>
    </row>
    <row r="376">
      <c r="A376" t="inlineStr">
        <is>
          <t>O0375</t>
        </is>
      </c>
      <c r="B376" s="2" t="n">
        <v>45718</v>
      </c>
      <c r="C376" t="inlineStr">
        <is>
          <t>East</t>
        </is>
      </c>
      <c r="D376" t="inlineStr">
        <is>
          <t>New Jersey</t>
        </is>
      </c>
      <c r="E376" t="inlineStr">
        <is>
          <t>Amit Shah</t>
        </is>
      </c>
      <c r="F376" t="inlineStr">
        <is>
          <t>John Smith</t>
        </is>
      </c>
      <c r="G376" t="inlineStr">
        <is>
          <t>Monitor</t>
        </is>
      </c>
      <c r="H376" t="inlineStr">
        <is>
          <t>P109</t>
        </is>
      </c>
      <c r="I376" t="inlineStr">
        <is>
          <t>Monitor 24</t>
        </is>
      </c>
      <c r="J376" t="n">
        <v>11</v>
      </c>
      <c r="K376" s="3" t="n">
        <v>229</v>
      </c>
      <c r="L376" s="4" t="n">
        <v>0.02</v>
      </c>
      <c r="M376" s="3" t="n">
        <v>2468.62</v>
      </c>
      <c r="N376" s="3" t="n">
        <v>1500</v>
      </c>
      <c r="O376" s="2" t="n">
        <v>45719</v>
      </c>
      <c r="P376" s="2" t="n">
        <v>45723</v>
      </c>
      <c r="Q376" t="inlineStr">
        <is>
          <t>Bank Transfer</t>
        </is>
      </c>
      <c r="R376" t="inlineStr">
        <is>
          <t>Corporate</t>
        </is>
      </c>
      <c r="S376" t="n">
        <v>4</v>
      </c>
      <c r="T376" t="inlineStr">
        <is>
          <t>ok</t>
        </is>
      </c>
    </row>
    <row r="377">
      <c r="A377" t="inlineStr">
        <is>
          <t>O0376</t>
        </is>
      </c>
      <c r="B377" s="2" t="n">
        <v>45877</v>
      </c>
      <c r="C377" t="inlineStr">
        <is>
          <t>East</t>
        </is>
      </c>
      <c r="D377" t="inlineStr">
        <is>
          <t>New Jersey</t>
        </is>
      </c>
      <c r="E377" t="inlineStr">
        <is>
          <t>Sara Khan</t>
        </is>
      </c>
      <c r="F377" t="inlineStr">
        <is>
          <t>John Smith</t>
        </is>
      </c>
      <c r="G377" t="inlineStr">
        <is>
          <t>Monitor</t>
        </is>
      </c>
      <c r="H377" t="inlineStr">
        <is>
          <t>P109</t>
        </is>
      </c>
      <c r="I377" t="inlineStr">
        <is>
          <t>Monitor 24</t>
        </is>
      </c>
      <c r="J377" t="n">
        <v>8</v>
      </c>
      <c r="K377" s="3" t="n">
        <v>229</v>
      </c>
      <c r="L377" s="4" t="n">
        <v>0.1</v>
      </c>
      <c r="M377" s="3" t="n">
        <v>1648.8</v>
      </c>
      <c r="N377" s="3" t="n">
        <v>750</v>
      </c>
      <c r="O377" s="2" t="n">
        <v>45879</v>
      </c>
      <c r="P377" s="2" t="n">
        <v>45886</v>
      </c>
      <c r="Q377" t="inlineStr">
        <is>
          <t>Credit Card</t>
        </is>
      </c>
      <c r="R377" t="inlineStr">
        <is>
          <t>Returning</t>
        </is>
      </c>
      <c r="S377" t="n">
        <v>2</v>
      </c>
      <c r="T377" t="inlineStr">
        <is>
          <t>ok</t>
        </is>
      </c>
    </row>
    <row r="378">
      <c r="A378" t="inlineStr">
        <is>
          <t>O0377</t>
        </is>
      </c>
      <c r="B378" s="2" t="n">
        <v>45803</v>
      </c>
      <c r="C378" t="inlineStr">
        <is>
          <t>South</t>
        </is>
      </c>
      <c r="D378" t="inlineStr">
        <is>
          <t>Florida</t>
        </is>
      </c>
      <c r="E378" t="inlineStr">
        <is>
          <t>Sara Khan</t>
        </is>
      </c>
      <c r="F378" t="inlineStr">
        <is>
          <t xml:space="preserve"> Rahul Shah </t>
        </is>
      </c>
      <c r="G378" t="inlineStr">
        <is>
          <t>Mobile</t>
        </is>
      </c>
      <c r="H378" t="inlineStr">
        <is>
          <t>P102</t>
        </is>
      </c>
      <c r="I378" t="inlineStr">
        <is>
          <t>Galaxy S24</t>
        </is>
      </c>
      <c r="J378" t="n">
        <v>7</v>
      </c>
      <c r="K378" s="3" t="n">
        <v>799</v>
      </c>
      <c r="L378" s="4" t="n">
        <v>0.05</v>
      </c>
      <c r="M378" s="3" t="n">
        <v>5313.35</v>
      </c>
      <c r="N378" s="3" t="n">
        <v>500</v>
      </c>
      <c r="O378" s="2" t="n">
        <v>45808</v>
      </c>
      <c r="P378" s="2" t="n">
        <v>45813</v>
      </c>
      <c r="Q378" t="inlineStr">
        <is>
          <t>Credit Card</t>
        </is>
      </c>
      <c r="R378" t="inlineStr">
        <is>
          <t>Corporate</t>
        </is>
      </c>
      <c r="S378" t="n">
        <v>5</v>
      </c>
      <c r="T378" t="inlineStr">
        <is>
          <t xml:space="preserve"> normal </t>
        </is>
      </c>
    </row>
    <row r="379">
      <c r="A379" t="inlineStr">
        <is>
          <t>O0378</t>
        </is>
      </c>
      <c r="B379" s="2" t="n">
        <v>45763</v>
      </c>
      <c r="C379" t="inlineStr">
        <is>
          <t>East</t>
        </is>
      </c>
      <c r="D379" t="inlineStr">
        <is>
          <t>Massachusetts</t>
        </is>
      </c>
      <c r="E379" t="inlineStr">
        <is>
          <t>Sara Khan</t>
        </is>
      </c>
      <c r="F379" t="inlineStr">
        <is>
          <t xml:space="preserve"> Neha  Joshi </t>
        </is>
      </c>
      <c r="G379" t="inlineStr">
        <is>
          <t>Accessory</t>
        </is>
      </c>
      <c r="H379" t="inlineStr">
        <is>
          <t>P111</t>
        </is>
      </c>
      <c r="I379" t="inlineStr">
        <is>
          <t>Mouse</t>
        </is>
      </c>
      <c r="J379" t="n">
        <v>6</v>
      </c>
      <c r="K379" s="3" t="n">
        <v>39</v>
      </c>
      <c r="L379" s="4" t="n">
        <v>0</v>
      </c>
      <c r="M379" s="3" t="n">
        <v>234</v>
      </c>
      <c r="N379" s="3" t="n">
        <v>500</v>
      </c>
      <c r="O379" s="2" t="n">
        <v>45766</v>
      </c>
      <c r="P379" s="2" t="n">
        <v>45770</v>
      </c>
      <c r="Q379" t="inlineStr">
        <is>
          <t>Cash</t>
        </is>
      </c>
      <c r="R379" t="inlineStr">
        <is>
          <t>Returning</t>
        </is>
      </c>
      <c r="S379" t="n">
        <v>5</v>
      </c>
      <c r="T379" t="inlineStr">
        <is>
          <t xml:space="preserve">  follow-up  </t>
        </is>
      </c>
    </row>
    <row r="380">
      <c r="A380" t="inlineStr">
        <is>
          <t>O0379</t>
        </is>
      </c>
      <c r="B380" s="2" t="n">
        <v>46006</v>
      </c>
      <c r="C380" t="inlineStr">
        <is>
          <t>North</t>
        </is>
      </c>
      <c r="D380" t="inlineStr">
        <is>
          <t>Minnesota</t>
        </is>
      </c>
      <c r="E380" t="inlineStr">
        <is>
          <t>Neha Joshi</t>
        </is>
      </c>
      <c r="F380" t="inlineStr">
        <is>
          <t>John Smith</t>
        </is>
      </c>
      <c r="G380" t="inlineStr">
        <is>
          <t>Tablet</t>
        </is>
      </c>
      <c r="H380" t="inlineStr">
        <is>
          <t>P105</t>
        </is>
      </c>
      <c r="I380" t="inlineStr">
        <is>
          <t>iPad Air</t>
        </is>
      </c>
      <c r="J380" t="n">
        <v>4</v>
      </c>
      <c r="K380" s="3" t="n">
        <v>599</v>
      </c>
      <c r="L380" s="4" t="n">
        <v>0.1</v>
      </c>
      <c r="M380" s="3" t="n">
        <v>2156.4</v>
      </c>
      <c r="N380" s="3" t="n">
        <v>1500</v>
      </c>
      <c r="O380" s="2" t="n">
        <v>46010</v>
      </c>
      <c r="P380" s="2" t="n">
        <v>46017</v>
      </c>
      <c r="Q380" t="inlineStr">
        <is>
          <t>UPI</t>
        </is>
      </c>
      <c r="R380" t="inlineStr">
        <is>
          <t>Returning</t>
        </is>
      </c>
      <c r="S380" t="n">
        <v>5</v>
      </c>
      <c r="T380" t="inlineStr">
        <is>
          <t>NORMAL</t>
        </is>
      </c>
    </row>
    <row r="381">
      <c r="A381" t="inlineStr">
        <is>
          <t>O0380</t>
        </is>
      </c>
      <c r="B381" s="2" t="n">
        <v>45953</v>
      </c>
      <c r="C381" t="inlineStr">
        <is>
          <t>South</t>
        </is>
      </c>
      <c r="D381" t="inlineStr">
        <is>
          <t>Georgia</t>
        </is>
      </c>
      <c r="E381" t="inlineStr">
        <is>
          <t>Sara Khan</t>
        </is>
      </c>
      <c r="F381" t="inlineStr">
        <is>
          <t>rAhUl shAh</t>
        </is>
      </c>
      <c r="G381" t="inlineStr">
        <is>
          <t>Tablet</t>
        </is>
      </c>
      <c r="H381" t="inlineStr">
        <is>
          <t>P105</t>
        </is>
      </c>
      <c r="I381" t="inlineStr">
        <is>
          <t>iPad Air</t>
        </is>
      </c>
      <c r="J381" t="n">
        <v>12</v>
      </c>
      <c r="K381" s="3" t="n">
        <v>599</v>
      </c>
      <c r="L381" s="4" t="n">
        <v>0.1</v>
      </c>
      <c r="M381" s="3" t="n">
        <v>6469.2</v>
      </c>
      <c r="N381" s="3" t="n">
        <v>2500</v>
      </c>
      <c r="O381" s="2" t="n">
        <v>45956</v>
      </c>
      <c r="P381" s="2" t="n">
        <v>45963</v>
      </c>
      <c r="Q381" t="inlineStr">
        <is>
          <t>Credit Card</t>
        </is>
      </c>
      <c r="R381" t="inlineStr">
        <is>
          <t>Corporate</t>
        </is>
      </c>
      <c r="S381" t="n">
        <v>2</v>
      </c>
      <c r="T381" t="inlineStr">
        <is>
          <t xml:space="preserve">  follow-up  </t>
        </is>
      </c>
    </row>
    <row r="382">
      <c r="A382" t="inlineStr">
        <is>
          <t>O0381</t>
        </is>
      </c>
      <c r="B382" s="2" t="n">
        <v>45918</v>
      </c>
      <c r="C382" t="inlineStr">
        <is>
          <t>West</t>
        </is>
      </c>
      <c r="D382" t="inlineStr">
        <is>
          <t>California</t>
        </is>
      </c>
      <c r="E382" t="inlineStr">
        <is>
          <t>Sara Khan</t>
        </is>
      </c>
      <c r="F382" t="inlineStr">
        <is>
          <t>Sara Khan</t>
        </is>
      </c>
      <c r="G382" t="inlineStr">
        <is>
          <t>Laptop</t>
        </is>
      </c>
      <c r="H382" t="inlineStr">
        <is>
          <t>P104</t>
        </is>
      </c>
      <c r="I382" t="inlineStr">
        <is>
          <t>Inspiron 15</t>
        </is>
      </c>
      <c r="J382" t="n">
        <v>6</v>
      </c>
      <c r="K382" s="3" t="n">
        <v>749</v>
      </c>
      <c r="L382" s="4" t="n">
        <v>0.15</v>
      </c>
      <c r="M382" s="3" t="n">
        <v>3819.9</v>
      </c>
      <c r="N382" s="3" t="n">
        <v>1500</v>
      </c>
      <c r="O382" s="2" t="n">
        <v>45922</v>
      </c>
      <c r="P382" s="2" t="n">
        <v>45929</v>
      </c>
      <c r="Q382" t="inlineStr">
        <is>
          <t>Credit Card</t>
        </is>
      </c>
      <c r="R382" t="inlineStr">
        <is>
          <t>New</t>
        </is>
      </c>
      <c r="S382" t="n">
        <v>4</v>
      </c>
      <c r="T382" t="inlineStr">
        <is>
          <t>refund pending</t>
        </is>
      </c>
    </row>
    <row r="383">
      <c r="A383" t="inlineStr">
        <is>
          <t>O0382</t>
        </is>
      </c>
      <c r="B383" s="2" t="n">
        <v>45899</v>
      </c>
      <c r="C383" t="inlineStr">
        <is>
          <t>East</t>
        </is>
      </c>
      <c r="D383" t="inlineStr">
        <is>
          <t>New York</t>
        </is>
      </c>
      <c r="E383" t="inlineStr">
        <is>
          <t>Rahul Mehta</t>
        </is>
      </c>
      <c r="F383" t="inlineStr">
        <is>
          <t>rAhUl shAh</t>
        </is>
      </c>
      <c r="G383" t="inlineStr">
        <is>
          <t>Laptop</t>
        </is>
      </c>
      <c r="H383" t="inlineStr">
        <is>
          <t>P103</t>
        </is>
      </c>
      <c r="I383" t="inlineStr">
        <is>
          <t>ThinkPad E14</t>
        </is>
      </c>
      <c r="J383" t="n">
        <v>2</v>
      </c>
      <c r="K383" s="3" t="n">
        <v>899</v>
      </c>
      <c r="L383" s="4" t="n">
        <v>0</v>
      </c>
      <c r="M383" s="3" t="n">
        <v>1798</v>
      </c>
      <c r="N383" s="3" t="n">
        <v>750</v>
      </c>
      <c r="O383" s="2" t="n">
        <v>45904</v>
      </c>
      <c r="P383" s="2" t="n">
        <v>45908</v>
      </c>
      <c r="Q383" t="inlineStr">
        <is>
          <t>Credit Card</t>
        </is>
      </c>
      <c r="R383" t="inlineStr">
        <is>
          <t>Corporate</t>
        </is>
      </c>
      <c r="S383" t="n">
        <v>1</v>
      </c>
      <c r="T383" t="inlineStr">
        <is>
          <t>refund pending</t>
        </is>
      </c>
    </row>
    <row r="384">
      <c r="A384" t="inlineStr">
        <is>
          <t>O0383</t>
        </is>
      </c>
      <c r="B384" s="2" t="n">
        <v>45993</v>
      </c>
      <c r="C384" t="inlineStr">
        <is>
          <t>South</t>
        </is>
      </c>
      <c r="D384" t="inlineStr">
        <is>
          <t>Georgia</t>
        </is>
      </c>
      <c r="E384" t="inlineStr">
        <is>
          <t>Sara Khan</t>
        </is>
      </c>
      <c r="F384" t="inlineStr">
        <is>
          <t>rAhUl shAh</t>
        </is>
      </c>
      <c r="G384" t="inlineStr">
        <is>
          <t>Accessory</t>
        </is>
      </c>
      <c r="H384" t="inlineStr">
        <is>
          <t>P110</t>
        </is>
      </c>
      <c r="I384" t="inlineStr">
        <is>
          <t>Keyboard</t>
        </is>
      </c>
      <c r="J384" t="n">
        <v>12</v>
      </c>
      <c r="K384" s="3" t="n">
        <v>59</v>
      </c>
      <c r="L384" s="4" t="n">
        <v>0.15</v>
      </c>
      <c r="M384" s="3" t="n">
        <v>601.8</v>
      </c>
      <c r="N384" s="3" t="n">
        <v>300</v>
      </c>
      <c r="O384" s="2" t="n">
        <v>45998</v>
      </c>
      <c r="P384" s="2" t="n">
        <v>46001</v>
      </c>
      <c r="Q384" t="inlineStr">
        <is>
          <t>Bank Transfer</t>
        </is>
      </c>
      <c r="R384" t="inlineStr">
        <is>
          <t>Returning</t>
        </is>
      </c>
      <c r="S384" t="n">
        <v>1</v>
      </c>
      <c r="T384" t="inlineStr">
        <is>
          <t>urgent</t>
        </is>
      </c>
    </row>
    <row r="385">
      <c r="A385" t="inlineStr">
        <is>
          <t>O0384</t>
        </is>
      </c>
      <c r="B385" s="2" t="n">
        <v>45964</v>
      </c>
      <c r="C385" t="inlineStr">
        <is>
          <t>North</t>
        </is>
      </c>
      <c r="D385" t="inlineStr">
        <is>
          <t>Illinois</t>
        </is>
      </c>
      <c r="E385" t="inlineStr">
        <is>
          <t>Sara Khan</t>
        </is>
      </c>
      <c r="F385" t="inlineStr">
        <is>
          <t>rAhUl shAh</t>
        </is>
      </c>
      <c r="G385" t="inlineStr">
        <is>
          <t>Mobile</t>
        </is>
      </c>
      <c r="H385" t="inlineStr">
        <is>
          <t>P101</t>
        </is>
      </c>
      <c r="I385" t="inlineStr">
        <is>
          <t>iPhone 15</t>
        </is>
      </c>
      <c r="J385" t="n">
        <v>12</v>
      </c>
      <c r="K385" s="3" t="n">
        <v>699</v>
      </c>
      <c r="L385" s="4" t="n">
        <v>0.02</v>
      </c>
      <c r="M385" s="3" t="n">
        <v>8220.24</v>
      </c>
      <c r="N385" s="3" t="n">
        <v>1500</v>
      </c>
      <c r="O385" s="2" t="n">
        <v>45969</v>
      </c>
      <c r="P385" s="2" t="n">
        <v>45974</v>
      </c>
      <c r="Q385" t="inlineStr">
        <is>
          <t>Credit Card</t>
        </is>
      </c>
      <c r="R385" t="inlineStr">
        <is>
          <t>Returning</t>
        </is>
      </c>
      <c r="S385" t="n">
        <v>2</v>
      </c>
      <c r="T385" t="inlineStr">
        <is>
          <t>refund pending</t>
        </is>
      </c>
    </row>
    <row r="386">
      <c r="A386" t="inlineStr">
        <is>
          <t>O0385</t>
        </is>
      </c>
      <c r="B386" s="2" t="n">
        <v>45799</v>
      </c>
      <c r="C386" t="inlineStr">
        <is>
          <t>East</t>
        </is>
      </c>
      <c r="D386" t="inlineStr">
        <is>
          <t>New York</t>
        </is>
      </c>
      <c r="E386" t="inlineStr">
        <is>
          <t>Priya Patel</t>
        </is>
      </c>
      <c r="F386" t="inlineStr">
        <is>
          <t>John Smith</t>
        </is>
      </c>
      <c r="G386" t="inlineStr">
        <is>
          <t>Mobile</t>
        </is>
      </c>
      <c r="H386" t="inlineStr">
        <is>
          <t>P102</t>
        </is>
      </c>
      <c r="I386" t="inlineStr">
        <is>
          <t>Galaxy S24</t>
        </is>
      </c>
      <c r="J386" t="n">
        <v>11</v>
      </c>
      <c r="K386" s="3" t="n">
        <v>799</v>
      </c>
      <c r="L386" s="4" t="n">
        <v>0.1</v>
      </c>
      <c r="M386" s="3" t="n">
        <v>7910.1</v>
      </c>
      <c r="N386" s="3" t="n">
        <v>1000</v>
      </c>
      <c r="O386" s="2" t="n">
        <v>45803</v>
      </c>
      <c r="P386" s="2" t="n">
        <v>45806</v>
      </c>
      <c r="Q386" t="inlineStr">
        <is>
          <t>Credit Card</t>
        </is>
      </c>
      <c r="R386" t="inlineStr">
        <is>
          <t>Corporate</t>
        </is>
      </c>
      <c r="S386" t="n">
        <v>1</v>
      </c>
      <c r="T386" t="inlineStr">
        <is>
          <t xml:space="preserve"> normal </t>
        </is>
      </c>
    </row>
    <row r="387">
      <c r="A387" t="inlineStr">
        <is>
          <t>O0386</t>
        </is>
      </c>
      <c r="B387" s="2" t="n">
        <v>45956</v>
      </c>
      <c r="C387" t="inlineStr">
        <is>
          <t>North</t>
        </is>
      </c>
      <c r="D387" t="inlineStr">
        <is>
          <t>Minnesota</t>
        </is>
      </c>
      <c r="E387" t="inlineStr">
        <is>
          <t>Priya Patel</t>
        </is>
      </c>
      <c r="F387" t="inlineStr">
        <is>
          <t>John Smith</t>
        </is>
      </c>
      <c r="G387" t="inlineStr">
        <is>
          <t>Monitor</t>
        </is>
      </c>
      <c r="H387" t="inlineStr">
        <is>
          <t>P109</t>
        </is>
      </c>
      <c r="I387" t="inlineStr">
        <is>
          <t>Monitor 24</t>
        </is>
      </c>
      <c r="J387" t="n">
        <v>14</v>
      </c>
      <c r="K387" s="3" t="n">
        <v>229</v>
      </c>
      <c r="L387" s="4" t="n">
        <v>0.05</v>
      </c>
      <c r="M387" s="3" t="n">
        <v>3045.7</v>
      </c>
      <c r="N387" s="3" t="n">
        <v>500</v>
      </c>
      <c r="O387" s="2" t="n">
        <v>45959</v>
      </c>
      <c r="P387" s="2" t="n">
        <v>45962</v>
      </c>
      <c r="Q387" t="inlineStr">
        <is>
          <t>Bank Transfer</t>
        </is>
      </c>
      <c r="R387" t="inlineStr">
        <is>
          <t>Returning</t>
        </is>
      </c>
      <c r="S387" t="n">
        <v>5</v>
      </c>
      <c r="T387" t="inlineStr">
        <is>
          <t xml:space="preserve"> normal </t>
        </is>
      </c>
    </row>
    <row r="388">
      <c r="A388" t="inlineStr">
        <is>
          <t>O0387</t>
        </is>
      </c>
      <c r="B388" s="2" t="n">
        <v>45917</v>
      </c>
      <c r="C388" t="inlineStr">
        <is>
          <t>North</t>
        </is>
      </c>
      <c r="D388" t="inlineStr">
        <is>
          <t>Illinois</t>
        </is>
      </c>
      <c r="E388" t="inlineStr">
        <is>
          <t>Amit Shah</t>
        </is>
      </c>
      <c r="F388" t="inlineStr">
        <is>
          <t>PRIYA PATEL</t>
        </is>
      </c>
      <c r="G388" t="inlineStr">
        <is>
          <t>Audio</t>
        </is>
      </c>
      <c r="H388" t="inlineStr">
        <is>
          <t>P107</t>
        </is>
      </c>
      <c r="I388" t="inlineStr">
        <is>
          <t>AirPods</t>
        </is>
      </c>
      <c r="J388" t="n">
        <v>2</v>
      </c>
      <c r="K388" s="3" t="n">
        <v>179</v>
      </c>
      <c r="L388" s="4" t="n">
        <v>0.15</v>
      </c>
      <c r="M388" s="3" t="n">
        <v>304.3</v>
      </c>
      <c r="N388" s="3" t="n">
        <v>750</v>
      </c>
      <c r="O388" s="2" t="n">
        <v>45918</v>
      </c>
      <c r="P388" s="2" t="n">
        <v>45923</v>
      </c>
      <c r="Q388" t="inlineStr">
        <is>
          <t>Cash</t>
        </is>
      </c>
      <c r="R388" t="inlineStr">
        <is>
          <t>Corporate</t>
        </is>
      </c>
      <c r="S388" t="n">
        <v>5</v>
      </c>
      <c r="T388" t="inlineStr">
        <is>
          <t>ok</t>
        </is>
      </c>
    </row>
    <row r="389">
      <c r="A389" t="inlineStr">
        <is>
          <t>O0388</t>
        </is>
      </c>
      <c r="B389" s="2" t="n">
        <v>45905</v>
      </c>
      <c r="C389" t="inlineStr">
        <is>
          <t>South</t>
        </is>
      </c>
      <c r="D389" t="inlineStr">
        <is>
          <t>Georgia</t>
        </is>
      </c>
      <c r="E389" t="inlineStr">
        <is>
          <t>John Smith</t>
        </is>
      </c>
      <c r="F389" t="inlineStr">
        <is>
          <t xml:space="preserve"> Neha  Joshi </t>
        </is>
      </c>
      <c r="G389" t="inlineStr">
        <is>
          <t>Accessory</t>
        </is>
      </c>
      <c r="H389" t="inlineStr">
        <is>
          <t>P110</t>
        </is>
      </c>
      <c r="I389" t="inlineStr">
        <is>
          <t>Keyboard</t>
        </is>
      </c>
      <c r="J389" t="n">
        <v>6</v>
      </c>
      <c r="K389" s="3" t="n">
        <v>59</v>
      </c>
      <c r="L389" s="4" t="n">
        <v>0.1</v>
      </c>
      <c r="M389" s="3" t="n">
        <v>318.6</v>
      </c>
      <c r="N389" s="3" t="n">
        <v>2500</v>
      </c>
      <c r="O389" s="2" t="n">
        <v>45907</v>
      </c>
      <c r="P389" s="2" t="n">
        <v>45914</v>
      </c>
      <c r="Q389" t="inlineStr">
        <is>
          <t>Credit Card</t>
        </is>
      </c>
      <c r="R389" t="inlineStr">
        <is>
          <t>Returning</t>
        </is>
      </c>
      <c r="S389" t="n">
        <v>1</v>
      </c>
      <c r="T389" t="inlineStr">
        <is>
          <t>ok</t>
        </is>
      </c>
    </row>
    <row r="390">
      <c r="A390" t="inlineStr">
        <is>
          <t>O0389</t>
        </is>
      </c>
      <c r="B390" s="2" t="n">
        <v>45770</v>
      </c>
      <c r="C390" t="inlineStr">
        <is>
          <t>East</t>
        </is>
      </c>
      <c r="D390" t="inlineStr">
        <is>
          <t>Massachusetts</t>
        </is>
      </c>
      <c r="E390" t="inlineStr">
        <is>
          <t>John Smith</t>
        </is>
      </c>
      <c r="F390" t="inlineStr">
        <is>
          <t>John Smith</t>
        </is>
      </c>
      <c r="G390" t="inlineStr">
        <is>
          <t>Accessory</t>
        </is>
      </c>
      <c r="H390" t="inlineStr">
        <is>
          <t>P111</t>
        </is>
      </c>
      <c r="I390" t="inlineStr">
        <is>
          <t>Mouse</t>
        </is>
      </c>
      <c r="J390" t="n">
        <v>6</v>
      </c>
      <c r="K390" s="3" t="n">
        <v>39</v>
      </c>
      <c r="L390" s="4" t="n">
        <v>0.1</v>
      </c>
      <c r="M390" s="3" t="n">
        <v>210.6</v>
      </c>
      <c r="N390" s="3" t="n">
        <v>750</v>
      </c>
      <c r="O390" s="2" t="n">
        <v>45772</v>
      </c>
      <c r="P390" s="2" t="n">
        <v>45779</v>
      </c>
      <c r="Q390" t="inlineStr">
        <is>
          <t>Credit Card</t>
        </is>
      </c>
      <c r="R390" t="inlineStr">
        <is>
          <t>Corporate</t>
        </is>
      </c>
      <c r="S390" t="n">
        <v>3</v>
      </c>
      <c r="T390" t="inlineStr">
        <is>
          <t>urgent</t>
        </is>
      </c>
    </row>
    <row r="391">
      <c r="A391" t="inlineStr">
        <is>
          <t>O0390</t>
        </is>
      </c>
      <c r="B391" s="2" t="n">
        <v>46002</v>
      </c>
      <c r="C391" t="inlineStr">
        <is>
          <t>North</t>
        </is>
      </c>
      <c r="D391" t="inlineStr">
        <is>
          <t>Illinois</t>
        </is>
      </c>
      <c r="E391" t="inlineStr">
        <is>
          <t>Rahul Mehta</t>
        </is>
      </c>
      <c r="F391" t="inlineStr">
        <is>
          <t>PRIYA PATEL</t>
        </is>
      </c>
      <c r="G391" t="inlineStr">
        <is>
          <t>Audio</t>
        </is>
      </c>
      <c r="H391" t="inlineStr">
        <is>
          <t>P107</t>
        </is>
      </c>
      <c r="I391" t="inlineStr">
        <is>
          <t>AirPods</t>
        </is>
      </c>
      <c r="J391" t="n">
        <v>9</v>
      </c>
      <c r="K391" s="3" t="n">
        <v>179</v>
      </c>
      <c r="L391" s="4" t="n">
        <v>0.02</v>
      </c>
      <c r="M391" s="3" t="n">
        <v>1578.78</v>
      </c>
      <c r="N391" s="3" t="n">
        <v>1000</v>
      </c>
      <c r="O391" s="2" t="n">
        <v>46005</v>
      </c>
      <c r="P391" s="2" t="n">
        <v>46006</v>
      </c>
      <c r="Q391" t="inlineStr">
        <is>
          <t>UPI</t>
        </is>
      </c>
      <c r="R391" t="inlineStr">
        <is>
          <t>Corporate</t>
        </is>
      </c>
      <c r="S391" t="n">
        <v>3</v>
      </c>
      <c r="T391" t="inlineStr">
        <is>
          <t>urgent</t>
        </is>
      </c>
    </row>
    <row r="392">
      <c r="A392" t="inlineStr">
        <is>
          <t>O0391</t>
        </is>
      </c>
      <c r="B392" s="2" t="n">
        <v>45760</v>
      </c>
      <c r="C392" t="inlineStr">
        <is>
          <t>West</t>
        </is>
      </c>
      <c r="D392" t="inlineStr">
        <is>
          <t>Texas</t>
        </is>
      </c>
      <c r="E392" t="inlineStr">
        <is>
          <t>Priya Patel</t>
        </is>
      </c>
      <c r="F392" t="inlineStr">
        <is>
          <t>rAhUl shAh</t>
        </is>
      </c>
      <c r="G392" t="inlineStr">
        <is>
          <t>Accessory</t>
        </is>
      </c>
      <c r="H392" t="inlineStr">
        <is>
          <t>P112</t>
        </is>
      </c>
      <c r="I392" t="inlineStr">
        <is>
          <t>PowerBank</t>
        </is>
      </c>
      <c r="J392" t="n">
        <v>4</v>
      </c>
      <c r="K392" s="3" t="n">
        <v>49</v>
      </c>
      <c r="L392" s="4" t="n">
        <v>0.05</v>
      </c>
      <c r="M392" s="3" t="n">
        <v>186.2</v>
      </c>
      <c r="N392" s="3" t="n">
        <v>500</v>
      </c>
      <c r="O392" s="2" t="n">
        <v>45762</v>
      </c>
      <c r="P392" s="2" t="n">
        <v>45768</v>
      </c>
      <c r="Q392" t="inlineStr">
        <is>
          <t>UPI</t>
        </is>
      </c>
      <c r="R392" t="inlineStr">
        <is>
          <t>Corporate</t>
        </is>
      </c>
      <c r="S392" t="n">
        <v>3</v>
      </c>
      <c r="T392" t="inlineStr">
        <is>
          <t>urgent</t>
        </is>
      </c>
    </row>
    <row r="393">
      <c r="A393" t="inlineStr">
        <is>
          <t>O0392</t>
        </is>
      </c>
      <c r="B393" s="2" t="n">
        <v>46004</v>
      </c>
      <c r="C393" t="inlineStr">
        <is>
          <t>East</t>
        </is>
      </c>
      <c r="D393" t="inlineStr">
        <is>
          <t>New York</t>
        </is>
      </c>
      <c r="E393" t="inlineStr">
        <is>
          <t>Rahul Mehta</t>
        </is>
      </c>
      <c r="F393" t="inlineStr">
        <is>
          <t xml:space="preserve"> Neha  Joshi </t>
        </is>
      </c>
      <c r="G393" t="inlineStr">
        <is>
          <t>Mobile</t>
        </is>
      </c>
      <c r="H393" t="inlineStr">
        <is>
          <t>P102</t>
        </is>
      </c>
      <c r="I393" t="inlineStr">
        <is>
          <t>Galaxy S24</t>
        </is>
      </c>
      <c r="J393" t="n">
        <v>1</v>
      </c>
      <c r="K393" s="3" t="n">
        <v>799</v>
      </c>
      <c r="L393" s="4" t="n">
        <v>0.15</v>
      </c>
      <c r="M393" s="3" t="n">
        <v>679.15</v>
      </c>
      <c r="N393" s="3" t="n">
        <v>300</v>
      </c>
      <c r="O393" s="2" t="n">
        <v>46008</v>
      </c>
      <c r="P393" s="2" t="n">
        <v>46013</v>
      </c>
      <c r="Q393" t="inlineStr">
        <is>
          <t>Cash</t>
        </is>
      </c>
      <c r="R393" t="inlineStr">
        <is>
          <t>Returning</t>
        </is>
      </c>
      <c r="S393" t="n">
        <v>5</v>
      </c>
      <c r="T393" t="inlineStr"/>
    </row>
    <row r="394">
      <c r="A394" t="inlineStr">
        <is>
          <t>O0393</t>
        </is>
      </c>
      <c r="B394" s="2" t="n">
        <v>45919</v>
      </c>
      <c r="C394" t="inlineStr">
        <is>
          <t>North</t>
        </is>
      </c>
      <c r="D394" t="inlineStr">
        <is>
          <t>Michigan</t>
        </is>
      </c>
      <c r="E394" t="inlineStr">
        <is>
          <t>John Smith</t>
        </is>
      </c>
      <c r="F394" t="inlineStr">
        <is>
          <t xml:space="preserve"> Rahul Shah </t>
        </is>
      </c>
      <c r="G394" t="inlineStr">
        <is>
          <t>Laptop</t>
        </is>
      </c>
      <c r="H394" t="inlineStr">
        <is>
          <t>P103</t>
        </is>
      </c>
      <c r="I394" t="inlineStr">
        <is>
          <t>ThinkPad E14</t>
        </is>
      </c>
      <c r="J394" t="n">
        <v>4</v>
      </c>
      <c r="K394" s="3" t="n">
        <v>899</v>
      </c>
      <c r="L394" s="4" t="n">
        <v>0.15</v>
      </c>
      <c r="M394" s="3" t="n">
        <v>3056.6</v>
      </c>
      <c r="N394" s="3" t="n">
        <v>500</v>
      </c>
      <c r="O394" s="2" t="n">
        <v>45922</v>
      </c>
      <c r="P394" s="2" t="n">
        <v>45926</v>
      </c>
      <c r="Q394" t="inlineStr">
        <is>
          <t>Bank Transfer</t>
        </is>
      </c>
      <c r="R394" t="inlineStr">
        <is>
          <t>Returning</t>
        </is>
      </c>
      <c r="S394" t="n">
        <v>5</v>
      </c>
      <c r="T394" t="inlineStr">
        <is>
          <t xml:space="preserve"> normal </t>
        </is>
      </c>
    </row>
    <row r="395">
      <c r="A395" t="inlineStr">
        <is>
          <t>O0394</t>
        </is>
      </c>
      <c r="B395" s="2" t="n">
        <v>45747</v>
      </c>
      <c r="C395" t="inlineStr">
        <is>
          <t>North</t>
        </is>
      </c>
      <c r="D395" t="inlineStr">
        <is>
          <t>Michigan</t>
        </is>
      </c>
      <c r="E395" t="inlineStr">
        <is>
          <t>Sara Khan</t>
        </is>
      </c>
      <c r="F395" t="inlineStr">
        <is>
          <t>PRIYA PATEL</t>
        </is>
      </c>
      <c r="G395" t="inlineStr">
        <is>
          <t>Accessory</t>
        </is>
      </c>
      <c r="H395" t="inlineStr">
        <is>
          <t>P111</t>
        </is>
      </c>
      <c r="I395" t="inlineStr">
        <is>
          <t>Mouse</t>
        </is>
      </c>
      <c r="J395" t="n">
        <v>12</v>
      </c>
      <c r="K395" s="3" t="n">
        <v>39</v>
      </c>
      <c r="L395" s="4" t="n">
        <v>0.15</v>
      </c>
      <c r="M395" s="3" t="n">
        <v>397.8</v>
      </c>
      <c r="N395" s="3" t="n">
        <v>1000</v>
      </c>
      <c r="O395" s="2" t="n">
        <v>45751</v>
      </c>
      <c r="P395" s="2" t="n">
        <v>45752</v>
      </c>
      <c r="Q395" t="inlineStr">
        <is>
          <t>Credit Card</t>
        </is>
      </c>
      <c r="R395" t="inlineStr">
        <is>
          <t>New</t>
        </is>
      </c>
      <c r="S395" t="n">
        <v>2</v>
      </c>
      <c r="T395" t="inlineStr">
        <is>
          <t xml:space="preserve">  follow-up  </t>
        </is>
      </c>
    </row>
    <row r="396">
      <c r="A396" t="inlineStr">
        <is>
          <t>O0395</t>
        </is>
      </c>
      <c r="B396" s="2" t="n">
        <v>45971</v>
      </c>
      <c r="C396" t="inlineStr">
        <is>
          <t>East</t>
        </is>
      </c>
      <c r="D396" t="inlineStr">
        <is>
          <t>Massachusetts</t>
        </is>
      </c>
      <c r="E396" t="inlineStr">
        <is>
          <t>Neha Joshi</t>
        </is>
      </c>
      <c r="F396" t="inlineStr">
        <is>
          <t>PRIYA PATEL</t>
        </is>
      </c>
      <c r="G396" t="inlineStr">
        <is>
          <t>Tablet</t>
        </is>
      </c>
      <c r="H396" t="inlineStr">
        <is>
          <t>P106</t>
        </is>
      </c>
      <c r="I396" t="inlineStr">
        <is>
          <t>Galaxy Tab</t>
        </is>
      </c>
      <c r="J396" t="n">
        <v>9</v>
      </c>
      <c r="K396" s="3" t="n">
        <v>499</v>
      </c>
      <c r="L396" s="4" t="n">
        <v>0.05</v>
      </c>
      <c r="M396" s="3" t="n">
        <v>4266.45</v>
      </c>
      <c r="N396" s="3" t="n">
        <v>500</v>
      </c>
      <c r="O396" s="2" t="n">
        <v>45974</v>
      </c>
      <c r="P396" s="2" t="n">
        <v>45976</v>
      </c>
      <c r="Q396" t="inlineStr">
        <is>
          <t>Cash</t>
        </is>
      </c>
      <c r="R396" t="inlineStr">
        <is>
          <t>Returning</t>
        </is>
      </c>
      <c r="S396" t="n">
        <v>2</v>
      </c>
      <c r="T396" t="inlineStr">
        <is>
          <t xml:space="preserve">  follow-up  </t>
        </is>
      </c>
    </row>
    <row r="397">
      <c r="A397" t="inlineStr">
        <is>
          <t>O0396</t>
        </is>
      </c>
      <c r="B397" s="2" t="n">
        <v>46016</v>
      </c>
      <c r="C397" t="inlineStr">
        <is>
          <t>South</t>
        </is>
      </c>
      <c r="D397" t="inlineStr">
        <is>
          <t>Florida</t>
        </is>
      </c>
      <c r="E397" t="inlineStr">
        <is>
          <t>Priya Patel</t>
        </is>
      </c>
      <c r="F397" t="inlineStr">
        <is>
          <t xml:space="preserve"> Neha  Joshi </t>
        </is>
      </c>
      <c r="G397" t="inlineStr">
        <is>
          <t>Audio</t>
        </is>
      </c>
      <c r="H397" t="inlineStr">
        <is>
          <t>P107</t>
        </is>
      </c>
      <c r="I397" t="inlineStr">
        <is>
          <t>AirPods</t>
        </is>
      </c>
      <c r="J397" t="n">
        <v>14</v>
      </c>
      <c r="K397" s="3" t="n">
        <v>179</v>
      </c>
      <c r="L397" s="4" t="n">
        <v>0.1</v>
      </c>
      <c r="M397" s="3" t="n">
        <v>2255.4</v>
      </c>
      <c r="N397" s="3" t="n">
        <v>750</v>
      </c>
      <c r="O397" s="2" t="n">
        <v>46019</v>
      </c>
      <c r="P397" s="2" t="n">
        <v>46022</v>
      </c>
      <c r="Q397" t="inlineStr">
        <is>
          <t>UPI</t>
        </is>
      </c>
      <c r="R397" t="inlineStr">
        <is>
          <t>Corporate</t>
        </is>
      </c>
      <c r="S397" t="n">
        <v>2</v>
      </c>
      <c r="T397" t="inlineStr"/>
    </row>
    <row r="398">
      <c r="A398" t="inlineStr">
        <is>
          <t>O0397</t>
        </is>
      </c>
      <c r="B398" s="2" t="n">
        <v>45778</v>
      </c>
      <c r="C398" t="inlineStr">
        <is>
          <t>East</t>
        </is>
      </c>
      <c r="D398" t="inlineStr">
        <is>
          <t>New Jersey</t>
        </is>
      </c>
      <c r="E398" t="inlineStr">
        <is>
          <t>Sara Khan</t>
        </is>
      </c>
      <c r="F398" t="inlineStr">
        <is>
          <t>rAhUl shAh</t>
        </is>
      </c>
      <c r="G398" t="inlineStr">
        <is>
          <t>Tablet</t>
        </is>
      </c>
      <c r="H398" t="inlineStr">
        <is>
          <t>P105</t>
        </is>
      </c>
      <c r="I398" t="inlineStr">
        <is>
          <t>iPad Air</t>
        </is>
      </c>
      <c r="J398" t="n">
        <v>14</v>
      </c>
      <c r="K398" s="3" t="n">
        <v>599</v>
      </c>
      <c r="L398" s="4" t="n">
        <v>0.1</v>
      </c>
      <c r="M398" s="3" t="n">
        <v>7547.4</v>
      </c>
      <c r="N398" s="3" t="n">
        <v>500</v>
      </c>
      <c r="O398" s="2" t="n">
        <v>45783</v>
      </c>
      <c r="P398" s="2" t="n">
        <v>45787</v>
      </c>
      <c r="Q398" t="inlineStr">
        <is>
          <t>UPI</t>
        </is>
      </c>
      <c r="R398" t="inlineStr">
        <is>
          <t>Returning</t>
        </is>
      </c>
      <c r="S398" t="n">
        <v>1</v>
      </c>
      <c r="T398" t="inlineStr">
        <is>
          <t>urgent</t>
        </is>
      </c>
    </row>
    <row r="399">
      <c r="A399" t="inlineStr">
        <is>
          <t>O0398</t>
        </is>
      </c>
      <c r="B399" s="2" t="n">
        <v>45980</v>
      </c>
      <c r="C399" t="inlineStr">
        <is>
          <t>South</t>
        </is>
      </c>
      <c r="D399" t="inlineStr">
        <is>
          <t>Georgia</t>
        </is>
      </c>
      <c r="E399" t="inlineStr">
        <is>
          <t>Rahul Mehta</t>
        </is>
      </c>
      <c r="F399" t="inlineStr">
        <is>
          <t xml:space="preserve"> Neha  Joshi </t>
        </is>
      </c>
      <c r="G399" t="inlineStr">
        <is>
          <t>Laptop</t>
        </is>
      </c>
      <c r="H399" t="inlineStr">
        <is>
          <t>P103</t>
        </is>
      </c>
      <c r="I399" t="inlineStr">
        <is>
          <t>ThinkPad E14</t>
        </is>
      </c>
      <c r="J399" t="n">
        <v>12</v>
      </c>
      <c r="K399" s="3" t="n">
        <v>899</v>
      </c>
      <c r="L399" s="4" t="n">
        <v>0.05</v>
      </c>
      <c r="M399" s="3" t="n">
        <v>10248.6</v>
      </c>
      <c r="N399" s="3" t="n">
        <v>5000</v>
      </c>
      <c r="O399" s="2" t="n">
        <v>45985</v>
      </c>
      <c r="P399" s="2" t="n">
        <v>45990</v>
      </c>
      <c r="Q399" t="inlineStr">
        <is>
          <t>Cash</t>
        </is>
      </c>
      <c r="R399" t="inlineStr">
        <is>
          <t>Corporate</t>
        </is>
      </c>
      <c r="S399" t="n">
        <v>5</v>
      </c>
      <c r="T399" t="inlineStr">
        <is>
          <t xml:space="preserve"> normal </t>
        </is>
      </c>
    </row>
    <row r="400">
      <c r="A400" t="inlineStr">
        <is>
          <t>O0399</t>
        </is>
      </c>
      <c r="B400" s="2" t="n">
        <v>45741</v>
      </c>
      <c r="C400" t="inlineStr">
        <is>
          <t>South</t>
        </is>
      </c>
      <c r="D400" t="inlineStr">
        <is>
          <t>Florida</t>
        </is>
      </c>
      <c r="E400" t="inlineStr">
        <is>
          <t>Amit Shah</t>
        </is>
      </c>
      <c r="F400" t="inlineStr">
        <is>
          <t>Sara Khan</t>
        </is>
      </c>
      <c r="G400" t="inlineStr">
        <is>
          <t>Accessory</t>
        </is>
      </c>
      <c r="H400" t="inlineStr">
        <is>
          <t>P112</t>
        </is>
      </c>
      <c r="I400" t="inlineStr">
        <is>
          <t>PowerBank</t>
        </is>
      </c>
      <c r="J400" t="n">
        <v>14</v>
      </c>
      <c r="K400" s="3" t="n">
        <v>49</v>
      </c>
      <c r="L400" s="4" t="n">
        <v>0.05</v>
      </c>
      <c r="M400" s="3" t="n">
        <v>651.7</v>
      </c>
      <c r="N400" s="3" t="n">
        <v>1000</v>
      </c>
      <c r="O400" s="2" t="n">
        <v>45742</v>
      </c>
      <c r="P400" s="2" t="n">
        <v>45744</v>
      </c>
      <c r="Q400" t="inlineStr">
        <is>
          <t>Bank Transfer</t>
        </is>
      </c>
      <c r="R400" t="inlineStr">
        <is>
          <t>Corporate</t>
        </is>
      </c>
      <c r="S400" t="n">
        <v>3</v>
      </c>
      <c r="T400" t="inlineStr">
        <is>
          <t>ok</t>
        </is>
      </c>
    </row>
    <row r="401">
      <c r="A401" t="inlineStr">
        <is>
          <t>O0400</t>
        </is>
      </c>
      <c r="B401" s="2" t="n">
        <v>45943</v>
      </c>
      <c r="C401" t="inlineStr">
        <is>
          <t>North</t>
        </is>
      </c>
      <c r="D401" t="inlineStr">
        <is>
          <t>Michigan</t>
        </is>
      </c>
      <c r="E401" t="inlineStr">
        <is>
          <t>Sara Khan</t>
        </is>
      </c>
      <c r="F401" t="inlineStr">
        <is>
          <t>PRIYA PATEL</t>
        </is>
      </c>
      <c r="G401" t="inlineStr">
        <is>
          <t>Monitor</t>
        </is>
      </c>
      <c r="H401" t="inlineStr">
        <is>
          <t>P109</t>
        </is>
      </c>
      <c r="I401" t="inlineStr">
        <is>
          <t>Monitor 24</t>
        </is>
      </c>
      <c r="J401" t="n">
        <v>1</v>
      </c>
      <c r="K401" s="3" t="n">
        <v>229</v>
      </c>
      <c r="L401" s="4" t="n">
        <v>0.1</v>
      </c>
      <c r="M401" s="3" t="n">
        <v>206.1</v>
      </c>
      <c r="N401" s="3" t="n">
        <v>300</v>
      </c>
      <c r="O401" s="2" t="n">
        <v>45946</v>
      </c>
      <c r="P401" s="2" t="n">
        <v>45949</v>
      </c>
      <c r="Q401" t="inlineStr">
        <is>
          <t>UPI</t>
        </is>
      </c>
      <c r="R401" t="inlineStr">
        <is>
          <t>Corporate</t>
        </is>
      </c>
      <c r="S401" t="n">
        <v>5</v>
      </c>
      <c r="T401" t="inlineStr">
        <is>
          <t>refund pending</t>
        </is>
      </c>
    </row>
    <row r="402">
      <c r="A402" t="inlineStr">
        <is>
          <t>O0401</t>
        </is>
      </c>
      <c r="B402" s="2" t="n">
        <v>45824</v>
      </c>
      <c r="C402" t="inlineStr">
        <is>
          <t>West</t>
        </is>
      </c>
      <c r="D402" t="inlineStr">
        <is>
          <t>Texas</t>
        </is>
      </c>
      <c r="E402" t="inlineStr">
        <is>
          <t>John Smith</t>
        </is>
      </c>
      <c r="F402" t="inlineStr">
        <is>
          <t xml:space="preserve"> Neha  Joshi </t>
        </is>
      </c>
      <c r="G402" t="inlineStr">
        <is>
          <t>Tablet</t>
        </is>
      </c>
      <c r="H402" t="inlineStr">
        <is>
          <t>P106</t>
        </is>
      </c>
      <c r="I402" t="inlineStr">
        <is>
          <t>Galaxy Tab</t>
        </is>
      </c>
      <c r="J402" t="n">
        <v>13</v>
      </c>
      <c r="K402" s="3" t="n">
        <v>499</v>
      </c>
      <c r="L402" s="4" t="n">
        <v>0.1</v>
      </c>
      <c r="M402" s="3" t="n">
        <v>5838.3</v>
      </c>
      <c r="N402" s="3" t="n">
        <v>300</v>
      </c>
      <c r="O402" s="2" t="n">
        <v>45829</v>
      </c>
      <c r="P402" s="2" t="n">
        <v>45833</v>
      </c>
      <c r="Q402" t="inlineStr">
        <is>
          <t>Cash</t>
        </is>
      </c>
      <c r="R402" t="inlineStr">
        <is>
          <t>Returning</t>
        </is>
      </c>
      <c r="S402" t="n">
        <v>2</v>
      </c>
      <c r="T402" t="inlineStr"/>
    </row>
    <row r="403">
      <c r="A403" t="inlineStr">
        <is>
          <t>O0402</t>
        </is>
      </c>
      <c r="B403" s="2" t="n">
        <v>45873</v>
      </c>
      <c r="C403" t="inlineStr">
        <is>
          <t>West</t>
        </is>
      </c>
      <c r="D403" t="inlineStr">
        <is>
          <t>Washington</t>
        </is>
      </c>
      <c r="E403" t="inlineStr">
        <is>
          <t>Rahul Mehta</t>
        </is>
      </c>
      <c r="F403" t="inlineStr">
        <is>
          <t>rAhUl shAh</t>
        </is>
      </c>
      <c r="G403" t="inlineStr">
        <is>
          <t>Tablet</t>
        </is>
      </c>
      <c r="H403" t="inlineStr">
        <is>
          <t>P106</t>
        </is>
      </c>
      <c r="I403" t="inlineStr">
        <is>
          <t>Galaxy Tab</t>
        </is>
      </c>
      <c r="J403" t="n">
        <v>7</v>
      </c>
      <c r="K403" s="3" t="n">
        <v>499</v>
      </c>
      <c r="L403" s="4" t="n">
        <v>0</v>
      </c>
      <c r="M403" s="3" t="n">
        <v>3493</v>
      </c>
      <c r="N403" s="3" t="n">
        <v>300</v>
      </c>
      <c r="O403" s="2" t="n">
        <v>45878</v>
      </c>
      <c r="P403" s="2" t="n">
        <v>45883</v>
      </c>
      <c r="Q403" t="inlineStr">
        <is>
          <t>UPI</t>
        </is>
      </c>
      <c r="R403" t="inlineStr">
        <is>
          <t>Returning</t>
        </is>
      </c>
      <c r="S403" t="n">
        <v>3</v>
      </c>
      <c r="T403" t="inlineStr">
        <is>
          <t>refund pending</t>
        </is>
      </c>
    </row>
    <row r="404">
      <c r="A404" t="inlineStr">
        <is>
          <t>O0403</t>
        </is>
      </c>
      <c r="B404" s="2" t="n">
        <v>45967</v>
      </c>
      <c r="C404" t="inlineStr">
        <is>
          <t>North</t>
        </is>
      </c>
      <c r="D404" t="inlineStr">
        <is>
          <t>Minnesota</t>
        </is>
      </c>
      <c r="E404" t="inlineStr">
        <is>
          <t>Sara Khan</t>
        </is>
      </c>
      <c r="F404" t="inlineStr">
        <is>
          <t>PRIYA PATEL</t>
        </is>
      </c>
      <c r="G404" t="inlineStr">
        <is>
          <t>Tablet</t>
        </is>
      </c>
      <c r="H404" t="inlineStr">
        <is>
          <t>P105</t>
        </is>
      </c>
      <c r="I404" t="inlineStr">
        <is>
          <t>iPad Air</t>
        </is>
      </c>
      <c r="J404" t="n">
        <v>15</v>
      </c>
      <c r="K404" s="3" t="n">
        <v>599</v>
      </c>
      <c r="L404" s="4" t="n">
        <v>0.1</v>
      </c>
      <c r="M404" s="3" t="n">
        <v>8086.5</v>
      </c>
      <c r="N404" s="3" t="n">
        <v>5000</v>
      </c>
      <c r="O404" s="2" t="n">
        <v>45971</v>
      </c>
      <c r="P404" s="2" t="n">
        <v>45974</v>
      </c>
      <c r="Q404" t="inlineStr">
        <is>
          <t>Bank Transfer</t>
        </is>
      </c>
      <c r="R404" t="inlineStr">
        <is>
          <t>Returning</t>
        </is>
      </c>
      <c r="S404" t="n">
        <v>2</v>
      </c>
      <c r="T404" t="inlineStr">
        <is>
          <t>urgent</t>
        </is>
      </c>
    </row>
    <row r="405">
      <c r="A405" t="inlineStr">
        <is>
          <t>O0404</t>
        </is>
      </c>
      <c r="B405" s="2" t="n">
        <v>45778</v>
      </c>
      <c r="C405" t="inlineStr">
        <is>
          <t>East</t>
        </is>
      </c>
      <c r="D405" t="inlineStr">
        <is>
          <t>New York</t>
        </is>
      </c>
      <c r="E405" t="inlineStr">
        <is>
          <t>Neha Joshi</t>
        </is>
      </c>
      <c r="F405" t="inlineStr">
        <is>
          <t>rAhUl shAh</t>
        </is>
      </c>
      <c r="G405" t="inlineStr">
        <is>
          <t>Accessory</t>
        </is>
      </c>
      <c r="H405" t="inlineStr">
        <is>
          <t>P112</t>
        </is>
      </c>
      <c r="I405" t="inlineStr">
        <is>
          <t>PowerBank</t>
        </is>
      </c>
      <c r="J405" t="n">
        <v>12</v>
      </c>
      <c r="K405" s="3" t="n">
        <v>49</v>
      </c>
      <c r="L405" s="4" t="n">
        <v>0</v>
      </c>
      <c r="M405" s="3" t="n">
        <v>588</v>
      </c>
      <c r="N405" s="3" t="n">
        <v>500</v>
      </c>
      <c r="O405" s="2" t="n">
        <v>45781</v>
      </c>
      <c r="P405" s="2" t="n">
        <v>45787</v>
      </c>
      <c r="Q405" t="inlineStr">
        <is>
          <t>Credit Card</t>
        </is>
      </c>
      <c r="R405" t="inlineStr">
        <is>
          <t>New</t>
        </is>
      </c>
      <c r="S405" t="n">
        <v>1</v>
      </c>
      <c r="T405" t="inlineStr">
        <is>
          <t xml:space="preserve">  follow-up  </t>
        </is>
      </c>
    </row>
    <row r="406">
      <c r="A406" t="inlineStr">
        <is>
          <t>O0405</t>
        </is>
      </c>
      <c r="B406" s="2" t="n">
        <v>45926</v>
      </c>
      <c r="C406" t="inlineStr">
        <is>
          <t>East</t>
        </is>
      </c>
      <c r="D406" t="inlineStr">
        <is>
          <t>New York</t>
        </is>
      </c>
      <c r="E406" t="inlineStr">
        <is>
          <t>Sara Khan</t>
        </is>
      </c>
      <c r="F406" t="inlineStr">
        <is>
          <t xml:space="preserve"> Rahul Shah </t>
        </is>
      </c>
      <c r="G406" t="inlineStr">
        <is>
          <t>Audio</t>
        </is>
      </c>
      <c r="H406" t="inlineStr">
        <is>
          <t>P107</t>
        </is>
      </c>
      <c r="I406" t="inlineStr">
        <is>
          <t>AirPods</t>
        </is>
      </c>
      <c r="J406" t="n">
        <v>5</v>
      </c>
      <c r="K406" s="3" t="n">
        <v>179</v>
      </c>
      <c r="L406" s="4" t="n">
        <v>0.15</v>
      </c>
      <c r="M406" s="3" t="n">
        <v>760.75</v>
      </c>
      <c r="N406" s="3" t="n">
        <v>500</v>
      </c>
      <c r="O406" s="2" t="n">
        <v>45927</v>
      </c>
      <c r="P406" s="2" t="n">
        <v>45928</v>
      </c>
      <c r="Q406" t="inlineStr">
        <is>
          <t>Bank Transfer</t>
        </is>
      </c>
      <c r="R406" t="inlineStr">
        <is>
          <t>Returning</t>
        </is>
      </c>
      <c r="S406" t="n">
        <v>2</v>
      </c>
      <c r="T406" t="inlineStr">
        <is>
          <t>urgent</t>
        </is>
      </c>
    </row>
    <row r="407">
      <c r="A407" t="inlineStr">
        <is>
          <t>O0406</t>
        </is>
      </c>
      <c r="B407" s="2" t="n">
        <v>45722</v>
      </c>
      <c r="C407" t="inlineStr">
        <is>
          <t>North</t>
        </is>
      </c>
      <c r="D407" t="inlineStr">
        <is>
          <t>Michigan</t>
        </is>
      </c>
      <c r="E407" t="inlineStr">
        <is>
          <t>Sara Khan</t>
        </is>
      </c>
      <c r="F407" t="inlineStr">
        <is>
          <t xml:space="preserve"> Rahul Shah </t>
        </is>
      </c>
      <c r="G407" t="inlineStr">
        <is>
          <t>Accessory</t>
        </is>
      </c>
      <c r="H407" t="inlineStr">
        <is>
          <t>P111</t>
        </is>
      </c>
      <c r="I407" t="inlineStr">
        <is>
          <t>Mouse</t>
        </is>
      </c>
      <c r="J407" t="n">
        <v>14</v>
      </c>
      <c r="K407" s="3" t="n">
        <v>39</v>
      </c>
      <c r="L407" s="4" t="n">
        <v>0.02</v>
      </c>
      <c r="M407" s="3" t="n">
        <v>535.08</v>
      </c>
      <c r="N407" s="3" t="n">
        <v>300</v>
      </c>
      <c r="O407" s="2" t="n">
        <v>45724</v>
      </c>
      <c r="P407" s="2" t="n">
        <v>45729</v>
      </c>
      <c r="Q407" t="inlineStr">
        <is>
          <t>Cash</t>
        </is>
      </c>
      <c r="R407" t="inlineStr">
        <is>
          <t>Returning</t>
        </is>
      </c>
      <c r="S407" t="n">
        <v>4</v>
      </c>
      <c r="T407" t="inlineStr">
        <is>
          <t xml:space="preserve">  follow-up  </t>
        </is>
      </c>
    </row>
    <row r="408">
      <c r="A408" t="inlineStr">
        <is>
          <t>O0407</t>
        </is>
      </c>
      <c r="B408" s="2" t="n">
        <v>45727</v>
      </c>
      <c r="C408" t="inlineStr">
        <is>
          <t>North</t>
        </is>
      </c>
      <c r="D408" t="inlineStr">
        <is>
          <t>Minnesota</t>
        </is>
      </c>
      <c r="E408" t="inlineStr">
        <is>
          <t>Sara Khan</t>
        </is>
      </c>
      <c r="F408" t="inlineStr">
        <is>
          <t xml:space="preserve">Sara Khan </t>
        </is>
      </c>
      <c r="G408" t="inlineStr">
        <is>
          <t>Audio</t>
        </is>
      </c>
      <c r="H408" t="inlineStr">
        <is>
          <t>P108</t>
        </is>
      </c>
      <c r="I408" t="inlineStr">
        <is>
          <t>Buds Pro</t>
        </is>
      </c>
      <c r="J408" t="n">
        <v>10</v>
      </c>
      <c r="K408" s="3" t="n">
        <v>129</v>
      </c>
      <c r="L408" s="4" t="n">
        <v>0.15</v>
      </c>
      <c r="M408" s="3" t="n">
        <v>1096.5</v>
      </c>
      <c r="N408" s="3" t="n">
        <v>1000</v>
      </c>
      <c r="O408" s="2" t="n">
        <v>45732</v>
      </c>
      <c r="P408" s="2" t="n">
        <v>45734</v>
      </c>
      <c r="Q408" t="inlineStr">
        <is>
          <t>Bank Transfer</t>
        </is>
      </c>
      <c r="R408" t="inlineStr">
        <is>
          <t>Corporate</t>
        </is>
      </c>
      <c r="S408" t="n">
        <v>5</v>
      </c>
      <c r="T408" t="inlineStr">
        <is>
          <t>ok</t>
        </is>
      </c>
    </row>
    <row r="409">
      <c r="A409" t="inlineStr">
        <is>
          <t>O0408</t>
        </is>
      </c>
      <c r="B409" s="2" t="n">
        <v>45774</v>
      </c>
      <c r="C409" t="inlineStr">
        <is>
          <t>North</t>
        </is>
      </c>
      <c r="D409" t="inlineStr">
        <is>
          <t>Michigan</t>
        </is>
      </c>
      <c r="E409" t="inlineStr">
        <is>
          <t>Priya Patel</t>
        </is>
      </c>
      <c r="F409" t="inlineStr">
        <is>
          <t>PRIYA PATEL</t>
        </is>
      </c>
      <c r="G409" t="inlineStr">
        <is>
          <t>Monitor</t>
        </is>
      </c>
      <c r="H409" t="inlineStr">
        <is>
          <t>P109</t>
        </is>
      </c>
      <c r="I409" t="inlineStr">
        <is>
          <t>Monitor 24</t>
        </is>
      </c>
      <c r="J409" t="n">
        <v>5</v>
      </c>
      <c r="K409" s="3" t="n">
        <v>229</v>
      </c>
      <c r="L409" s="4" t="n">
        <v>0.05</v>
      </c>
      <c r="M409" s="3" t="n">
        <v>1087.75</v>
      </c>
      <c r="N409" s="3" t="n">
        <v>1000</v>
      </c>
      <c r="O409" s="2" t="n">
        <v>45775</v>
      </c>
      <c r="P409" s="2" t="n">
        <v>45779</v>
      </c>
      <c r="Q409" t="inlineStr">
        <is>
          <t>Cash</t>
        </is>
      </c>
      <c r="R409" t="inlineStr">
        <is>
          <t>New</t>
        </is>
      </c>
      <c r="S409" t="n">
        <v>1</v>
      </c>
      <c r="T409" t="inlineStr">
        <is>
          <t>NORMAL</t>
        </is>
      </c>
    </row>
    <row r="410">
      <c r="A410" t="inlineStr">
        <is>
          <t>O0409</t>
        </is>
      </c>
      <c r="B410" s="2" t="n">
        <v>45898</v>
      </c>
      <c r="C410" t="inlineStr">
        <is>
          <t>West</t>
        </is>
      </c>
      <c r="D410" t="inlineStr">
        <is>
          <t>Texas</t>
        </is>
      </c>
      <c r="E410" t="inlineStr">
        <is>
          <t>Rahul Mehta</t>
        </is>
      </c>
      <c r="F410" t="inlineStr">
        <is>
          <t xml:space="preserve"> Neha  Joshi </t>
        </is>
      </c>
      <c r="G410" t="inlineStr">
        <is>
          <t>Tablet</t>
        </is>
      </c>
      <c r="H410" t="inlineStr">
        <is>
          <t>P105</t>
        </is>
      </c>
      <c r="I410" t="inlineStr">
        <is>
          <t>iPad Air</t>
        </is>
      </c>
      <c r="J410" t="n">
        <v>12</v>
      </c>
      <c r="K410" s="3" t="n">
        <v>599</v>
      </c>
      <c r="L410" s="4" t="n">
        <v>0.1</v>
      </c>
      <c r="M410" s="3" t="n">
        <v>6469.2</v>
      </c>
      <c r="N410" s="3" t="n">
        <v>5000</v>
      </c>
      <c r="O410" s="2" t="n">
        <v>45903</v>
      </c>
      <c r="P410" s="2" t="n">
        <v>45904</v>
      </c>
      <c r="Q410" t="inlineStr">
        <is>
          <t>Credit Card</t>
        </is>
      </c>
      <c r="R410" t="inlineStr">
        <is>
          <t>Returning</t>
        </is>
      </c>
      <c r="S410" t="n">
        <v>3</v>
      </c>
      <c r="T410" t="inlineStr">
        <is>
          <t>NORMAL</t>
        </is>
      </c>
    </row>
    <row r="411">
      <c r="A411" t="inlineStr">
        <is>
          <t>O0410</t>
        </is>
      </c>
      <c r="B411" s="2" t="n">
        <v>45849</v>
      </c>
      <c r="C411" t="inlineStr">
        <is>
          <t>West</t>
        </is>
      </c>
      <c r="D411" t="inlineStr">
        <is>
          <t>California</t>
        </is>
      </c>
      <c r="E411" t="inlineStr">
        <is>
          <t>Priya Patel</t>
        </is>
      </c>
      <c r="F411" t="inlineStr">
        <is>
          <t xml:space="preserve"> Neha  Joshi </t>
        </is>
      </c>
      <c r="G411" t="inlineStr">
        <is>
          <t>Monitor</t>
        </is>
      </c>
      <c r="H411" t="inlineStr">
        <is>
          <t>P109</t>
        </is>
      </c>
      <c r="I411" t="inlineStr">
        <is>
          <t>Monitor 24</t>
        </is>
      </c>
      <c r="J411" t="n">
        <v>15</v>
      </c>
      <c r="K411" s="3" t="n">
        <v>229</v>
      </c>
      <c r="L411" s="4" t="n">
        <v>0.15</v>
      </c>
      <c r="M411" s="3" t="n">
        <v>2919.75</v>
      </c>
      <c r="N411" s="3" t="n">
        <v>1000</v>
      </c>
      <c r="O411" s="2" t="n">
        <v>45851</v>
      </c>
      <c r="P411" s="2" t="n">
        <v>45855</v>
      </c>
      <c r="Q411" t="inlineStr">
        <is>
          <t>UPI</t>
        </is>
      </c>
      <c r="R411" t="inlineStr">
        <is>
          <t>Corporate</t>
        </is>
      </c>
      <c r="S411" t="n">
        <v>4</v>
      </c>
      <c r="T411" t="inlineStr"/>
    </row>
    <row r="412">
      <c r="A412" t="inlineStr">
        <is>
          <t>O0411</t>
        </is>
      </c>
      <c r="B412" s="2" t="n">
        <v>45698</v>
      </c>
      <c r="C412" t="inlineStr">
        <is>
          <t>South</t>
        </is>
      </c>
      <c r="D412" t="inlineStr">
        <is>
          <t>Florida</t>
        </is>
      </c>
      <c r="E412" t="inlineStr">
        <is>
          <t>Sara Khan</t>
        </is>
      </c>
      <c r="F412" t="inlineStr">
        <is>
          <t>John Smith</t>
        </is>
      </c>
      <c r="G412" t="inlineStr">
        <is>
          <t>Tablet</t>
        </is>
      </c>
      <c r="H412" t="inlineStr">
        <is>
          <t>P105</t>
        </is>
      </c>
      <c r="I412" t="inlineStr">
        <is>
          <t>iPad Air</t>
        </is>
      </c>
      <c r="J412" t="n">
        <v>4</v>
      </c>
      <c r="K412" s="3" t="n">
        <v>599</v>
      </c>
      <c r="L412" s="4" t="n">
        <v>0.15</v>
      </c>
      <c r="M412" s="3" t="n">
        <v>2036.6</v>
      </c>
      <c r="N412" s="3" t="n">
        <v>5000</v>
      </c>
      <c r="O412" s="2" t="n">
        <v>45702</v>
      </c>
      <c r="P412" s="2" t="n">
        <v>45708</v>
      </c>
      <c r="Q412" t="inlineStr">
        <is>
          <t>Cash</t>
        </is>
      </c>
      <c r="R412" t="inlineStr">
        <is>
          <t>Returning</t>
        </is>
      </c>
      <c r="S412" t="n">
        <v>5</v>
      </c>
      <c r="T412" t="inlineStr"/>
    </row>
    <row r="413">
      <c r="A413" t="inlineStr">
        <is>
          <t>O0412</t>
        </is>
      </c>
      <c r="B413" s="2" t="n">
        <v>45693</v>
      </c>
      <c r="C413" t="inlineStr">
        <is>
          <t>North</t>
        </is>
      </c>
      <c r="D413" t="inlineStr">
        <is>
          <t>Michigan</t>
        </is>
      </c>
      <c r="E413" t="inlineStr">
        <is>
          <t>John Smith</t>
        </is>
      </c>
      <c r="F413" t="inlineStr">
        <is>
          <t xml:space="preserve"> Neha  Joshi </t>
        </is>
      </c>
      <c r="G413" t="inlineStr">
        <is>
          <t>Laptop</t>
        </is>
      </c>
      <c r="H413" t="inlineStr">
        <is>
          <t>P104</t>
        </is>
      </c>
      <c r="I413" t="inlineStr">
        <is>
          <t>Inspiron 15</t>
        </is>
      </c>
      <c r="J413" t="n">
        <v>5</v>
      </c>
      <c r="K413" s="3" t="n">
        <v>749</v>
      </c>
      <c r="L413" s="4" t="n">
        <v>0</v>
      </c>
      <c r="M413" s="3" t="n">
        <v>3745</v>
      </c>
      <c r="N413" s="3" t="n">
        <v>2500</v>
      </c>
      <c r="O413" s="2" t="n">
        <v>45695</v>
      </c>
      <c r="P413" s="2" t="n">
        <v>45697</v>
      </c>
      <c r="Q413" t="inlineStr">
        <is>
          <t>Bank Transfer</t>
        </is>
      </c>
      <c r="R413" t="inlineStr">
        <is>
          <t>Returning</t>
        </is>
      </c>
      <c r="S413" t="n">
        <v>5</v>
      </c>
      <c r="T413" t="inlineStr">
        <is>
          <t xml:space="preserve">  follow-up  </t>
        </is>
      </c>
    </row>
    <row r="414">
      <c r="A414" t="inlineStr">
        <is>
          <t>O0413</t>
        </is>
      </c>
      <c r="B414" s="2" t="n">
        <v>45735</v>
      </c>
      <c r="C414" t="inlineStr">
        <is>
          <t>West</t>
        </is>
      </c>
      <c r="D414" t="inlineStr">
        <is>
          <t>Texas</t>
        </is>
      </c>
      <c r="E414" t="inlineStr">
        <is>
          <t>Rahul Mehta</t>
        </is>
      </c>
      <c r="F414" t="inlineStr">
        <is>
          <t>PRIYA PATEL</t>
        </is>
      </c>
      <c r="G414" t="inlineStr">
        <is>
          <t>Mobile</t>
        </is>
      </c>
      <c r="H414" t="inlineStr">
        <is>
          <t>P101</t>
        </is>
      </c>
      <c r="I414" t="inlineStr">
        <is>
          <t>iPhone 15</t>
        </is>
      </c>
      <c r="J414" t="n">
        <v>1</v>
      </c>
      <c r="K414" s="3" t="n">
        <v>699</v>
      </c>
      <c r="L414" s="4" t="n">
        <v>0.02</v>
      </c>
      <c r="M414" s="3" t="n">
        <v>685.02</v>
      </c>
      <c r="N414" s="3" t="n">
        <v>300</v>
      </c>
      <c r="O414" s="2" t="n">
        <v>45736</v>
      </c>
      <c r="P414" s="2" t="n">
        <v>45741</v>
      </c>
      <c r="Q414" t="inlineStr">
        <is>
          <t>UPI</t>
        </is>
      </c>
      <c r="R414" t="inlineStr">
        <is>
          <t>Corporate</t>
        </is>
      </c>
      <c r="S414" t="n">
        <v>4</v>
      </c>
      <c r="T414" t="inlineStr">
        <is>
          <t>refund pending</t>
        </is>
      </c>
    </row>
    <row r="415">
      <c r="A415" t="inlineStr">
        <is>
          <t>O0414</t>
        </is>
      </c>
      <c r="B415" s="2" t="n">
        <v>45735</v>
      </c>
      <c r="C415" t="inlineStr">
        <is>
          <t>East</t>
        </is>
      </c>
      <c r="D415" t="inlineStr">
        <is>
          <t>New York</t>
        </is>
      </c>
      <c r="E415" t="inlineStr">
        <is>
          <t>Neha Joshi</t>
        </is>
      </c>
      <c r="F415" t="inlineStr">
        <is>
          <t>PRIYA PATEL</t>
        </is>
      </c>
      <c r="G415" t="inlineStr">
        <is>
          <t>Mobile</t>
        </is>
      </c>
      <c r="H415" t="inlineStr">
        <is>
          <t>P102</t>
        </is>
      </c>
      <c r="I415" t="inlineStr">
        <is>
          <t>Galaxy S24</t>
        </is>
      </c>
      <c r="J415" t="n">
        <v>4</v>
      </c>
      <c r="K415" s="3" t="n">
        <v>799</v>
      </c>
      <c r="L415" s="4" t="n">
        <v>0.05</v>
      </c>
      <c r="M415" s="3" t="n">
        <v>3036.2</v>
      </c>
      <c r="N415" s="3" t="n">
        <v>1000</v>
      </c>
      <c r="O415" s="2" t="n">
        <v>45736</v>
      </c>
      <c r="P415" s="2" t="n">
        <v>45740</v>
      </c>
      <c r="Q415" t="inlineStr">
        <is>
          <t>Cash</t>
        </is>
      </c>
      <c r="R415" t="inlineStr">
        <is>
          <t>Returning</t>
        </is>
      </c>
      <c r="S415" t="n">
        <v>1</v>
      </c>
      <c r="T415" t="inlineStr">
        <is>
          <t>ok</t>
        </is>
      </c>
    </row>
    <row r="416">
      <c r="A416" t="inlineStr">
        <is>
          <t>O0415</t>
        </is>
      </c>
      <c r="B416" s="2" t="n">
        <v>45794</v>
      </c>
      <c r="C416" t="inlineStr">
        <is>
          <t>East</t>
        </is>
      </c>
      <c r="D416" t="inlineStr">
        <is>
          <t>New York</t>
        </is>
      </c>
      <c r="E416" t="inlineStr">
        <is>
          <t>Rahul Mehta</t>
        </is>
      </c>
      <c r="F416" t="inlineStr">
        <is>
          <t>rAhUl shAh</t>
        </is>
      </c>
      <c r="G416" t="inlineStr">
        <is>
          <t>Mobile</t>
        </is>
      </c>
      <c r="H416" t="inlineStr">
        <is>
          <t>P101</t>
        </is>
      </c>
      <c r="I416" t="inlineStr">
        <is>
          <t>iPhone 15</t>
        </is>
      </c>
      <c r="J416" t="n">
        <v>9</v>
      </c>
      <c r="K416" s="3" t="n">
        <v>699</v>
      </c>
      <c r="L416" s="4" t="n">
        <v>0.1</v>
      </c>
      <c r="M416" s="3" t="n">
        <v>5661.9</v>
      </c>
      <c r="N416" s="3" t="n">
        <v>500</v>
      </c>
      <c r="O416" s="2" t="n">
        <v>45798</v>
      </c>
      <c r="P416" s="2" t="n">
        <v>45799</v>
      </c>
      <c r="Q416" t="inlineStr">
        <is>
          <t>Bank Transfer</t>
        </is>
      </c>
      <c r="R416" t="inlineStr">
        <is>
          <t>New</t>
        </is>
      </c>
      <c r="S416" t="n">
        <v>1</v>
      </c>
      <c r="T416" t="inlineStr"/>
    </row>
    <row r="417">
      <c r="A417" t="inlineStr">
        <is>
          <t>O0416</t>
        </is>
      </c>
      <c r="B417" s="2" t="n">
        <v>45784</v>
      </c>
      <c r="C417" t="inlineStr">
        <is>
          <t>West</t>
        </is>
      </c>
      <c r="D417" t="inlineStr">
        <is>
          <t>Texas</t>
        </is>
      </c>
      <c r="E417" t="inlineStr">
        <is>
          <t>Priya Patel</t>
        </is>
      </c>
      <c r="F417" t="inlineStr">
        <is>
          <t>Sara Khan</t>
        </is>
      </c>
      <c r="G417" t="inlineStr">
        <is>
          <t>Audio</t>
        </is>
      </c>
      <c r="H417" t="inlineStr">
        <is>
          <t>P108</t>
        </is>
      </c>
      <c r="I417" t="inlineStr">
        <is>
          <t>Buds Pro</t>
        </is>
      </c>
      <c r="J417" t="n">
        <v>8</v>
      </c>
      <c r="K417" s="3" t="n">
        <v>129</v>
      </c>
      <c r="L417" s="4" t="n">
        <v>0</v>
      </c>
      <c r="M417" s="3" t="n">
        <v>1032</v>
      </c>
      <c r="N417" s="3" t="n">
        <v>1500</v>
      </c>
      <c r="O417" s="2" t="n">
        <v>45785</v>
      </c>
      <c r="P417" s="2" t="n">
        <v>45787</v>
      </c>
      <c r="Q417" t="inlineStr">
        <is>
          <t>Bank Transfer</t>
        </is>
      </c>
      <c r="R417" t="inlineStr">
        <is>
          <t>Returning</t>
        </is>
      </c>
      <c r="S417" t="n">
        <v>3</v>
      </c>
      <c r="T417" t="inlineStr">
        <is>
          <t>ok</t>
        </is>
      </c>
    </row>
    <row r="418">
      <c r="A418" t="inlineStr">
        <is>
          <t>O0417</t>
        </is>
      </c>
      <c r="B418" s="2" t="n">
        <v>45679</v>
      </c>
      <c r="C418" t="inlineStr">
        <is>
          <t>West</t>
        </is>
      </c>
      <c r="D418" t="inlineStr">
        <is>
          <t>Washington</t>
        </is>
      </c>
      <c r="E418" t="inlineStr">
        <is>
          <t>Rahul Mehta</t>
        </is>
      </c>
      <c r="F418" t="inlineStr">
        <is>
          <t>Sara Khan</t>
        </is>
      </c>
      <c r="G418" t="inlineStr">
        <is>
          <t>Accessory</t>
        </is>
      </c>
      <c r="H418" t="inlineStr">
        <is>
          <t>P112</t>
        </is>
      </c>
      <c r="I418" t="inlineStr">
        <is>
          <t>PowerBank</t>
        </is>
      </c>
      <c r="J418" t="n">
        <v>2</v>
      </c>
      <c r="K418" s="3" t="n">
        <v>49</v>
      </c>
      <c r="L418" s="4" t="n">
        <v>0.05</v>
      </c>
      <c r="M418" s="3" t="n">
        <v>93.09999999999999</v>
      </c>
      <c r="N418" s="3" t="n">
        <v>1000</v>
      </c>
      <c r="O418" s="2" t="n">
        <v>45684</v>
      </c>
      <c r="P418" s="2" t="n">
        <v>45689</v>
      </c>
      <c r="Q418" t="inlineStr">
        <is>
          <t>UPI</t>
        </is>
      </c>
      <c r="R418" t="inlineStr">
        <is>
          <t>Returning</t>
        </is>
      </c>
      <c r="S418" t="n">
        <v>1</v>
      </c>
      <c r="T418" t="inlineStr"/>
    </row>
    <row r="419">
      <c r="A419" t="inlineStr">
        <is>
          <t>O0418</t>
        </is>
      </c>
      <c r="B419" s="2" t="n">
        <v>45982</v>
      </c>
      <c r="C419" t="inlineStr">
        <is>
          <t>West</t>
        </is>
      </c>
      <c r="D419" t="inlineStr">
        <is>
          <t>California</t>
        </is>
      </c>
      <c r="E419" t="inlineStr">
        <is>
          <t>John Smith</t>
        </is>
      </c>
      <c r="F419" t="inlineStr">
        <is>
          <t>PRIYA PATEL</t>
        </is>
      </c>
      <c r="G419" t="inlineStr">
        <is>
          <t>Laptop</t>
        </is>
      </c>
      <c r="H419" t="inlineStr">
        <is>
          <t>P104</t>
        </is>
      </c>
      <c r="I419" t="inlineStr">
        <is>
          <t>Inspiron 15</t>
        </is>
      </c>
      <c r="J419" t="n">
        <v>1</v>
      </c>
      <c r="K419" s="3" t="n">
        <v>749</v>
      </c>
      <c r="L419" s="4" t="n">
        <v>0.02</v>
      </c>
      <c r="M419" s="3" t="n">
        <v>734.02</v>
      </c>
      <c r="N419" s="3" t="n">
        <v>5000</v>
      </c>
      <c r="O419" s="2" t="n">
        <v>45986</v>
      </c>
      <c r="P419" s="2" t="n">
        <v>45989</v>
      </c>
      <c r="Q419" t="inlineStr">
        <is>
          <t>Credit Card</t>
        </is>
      </c>
      <c r="R419" t="inlineStr">
        <is>
          <t>Returning</t>
        </is>
      </c>
      <c r="S419" t="n">
        <v>2</v>
      </c>
      <c r="T419" t="inlineStr">
        <is>
          <t xml:space="preserve"> normal </t>
        </is>
      </c>
    </row>
    <row r="420">
      <c r="A420" t="inlineStr">
        <is>
          <t>O0419</t>
        </is>
      </c>
      <c r="B420" s="2" t="n">
        <v>45901</v>
      </c>
      <c r="C420" t="inlineStr">
        <is>
          <t>East</t>
        </is>
      </c>
      <c r="D420" t="inlineStr">
        <is>
          <t>New Jersey</t>
        </is>
      </c>
      <c r="E420" t="inlineStr">
        <is>
          <t>Neha Joshi</t>
        </is>
      </c>
      <c r="F420" t="inlineStr">
        <is>
          <t>rAhUl shAh</t>
        </is>
      </c>
      <c r="G420" t="inlineStr">
        <is>
          <t>Accessory</t>
        </is>
      </c>
      <c r="H420" t="inlineStr">
        <is>
          <t>P112</t>
        </is>
      </c>
      <c r="I420" t="inlineStr">
        <is>
          <t>PowerBank</t>
        </is>
      </c>
      <c r="J420" t="n">
        <v>6</v>
      </c>
      <c r="K420" s="3" t="n">
        <v>49</v>
      </c>
      <c r="L420" s="4" t="n">
        <v>0</v>
      </c>
      <c r="M420" s="3" t="n">
        <v>294</v>
      </c>
      <c r="N420" s="3" t="n">
        <v>500</v>
      </c>
      <c r="O420" s="2" t="n">
        <v>45906</v>
      </c>
      <c r="P420" s="2" t="n">
        <v>45908</v>
      </c>
      <c r="Q420" t="inlineStr">
        <is>
          <t>Credit Card</t>
        </is>
      </c>
      <c r="R420" t="inlineStr">
        <is>
          <t>Corporate</t>
        </is>
      </c>
      <c r="S420" t="n">
        <v>5</v>
      </c>
      <c r="T420" t="inlineStr">
        <is>
          <t>ok</t>
        </is>
      </c>
    </row>
    <row r="421">
      <c r="A421" t="inlineStr">
        <is>
          <t>O0420</t>
        </is>
      </c>
      <c r="B421" s="2" t="n">
        <v>45988</v>
      </c>
      <c r="C421" t="inlineStr">
        <is>
          <t>East</t>
        </is>
      </c>
      <c r="D421" t="inlineStr">
        <is>
          <t>New York</t>
        </is>
      </c>
      <c r="E421" t="inlineStr">
        <is>
          <t>Priya Patel</t>
        </is>
      </c>
      <c r="F421" t="inlineStr">
        <is>
          <t xml:space="preserve"> Neha  Joshi </t>
        </is>
      </c>
      <c r="G421" t="inlineStr">
        <is>
          <t>Tablet</t>
        </is>
      </c>
      <c r="H421" t="inlineStr">
        <is>
          <t>P106</t>
        </is>
      </c>
      <c r="I421" t="inlineStr">
        <is>
          <t>Galaxy Tab</t>
        </is>
      </c>
      <c r="J421" t="n">
        <v>9</v>
      </c>
      <c r="K421" s="3" t="n">
        <v>499</v>
      </c>
      <c r="L421" s="4" t="n">
        <v>0</v>
      </c>
      <c r="M421" s="3" t="n">
        <v>4491</v>
      </c>
      <c r="N421" s="3" t="n">
        <v>500</v>
      </c>
      <c r="O421" s="2" t="n">
        <v>45990</v>
      </c>
      <c r="P421" s="2" t="n">
        <v>45996</v>
      </c>
      <c r="Q421" t="inlineStr">
        <is>
          <t>Cash</t>
        </is>
      </c>
      <c r="R421" t="inlineStr">
        <is>
          <t>Corporate</t>
        </is>
      </c>
      <c r="S421" t="n">
        <v>3</v>
      </c>
      <c r="T421" t="inlineStr"/>
    </row>
    <row r="422">
      <c r="A422" t="inlineStr">
        <is>
          <t>O0421</t>
        </is>
      </c>
      <c r="B422" s="2" t="n">
        <v>45668</v>
      </c>
      <c r="C422" t="inlineStr">
        <is>
          <t>South</t>
        </is>
      </c>
      <c r="D422" t="inlineStr">
        <is>
          <t>Texas</t>
        </is>
      </c>
      <c r="E422" t="inlineStr">
        <is>
          <t>Neha Joshi</t>
        </is>
      </c>
      <c r="F422" t="inlineStr">
        <is>
          <t xml:space="preserve"> Rahul Shah </t>
        </is>
      </c>
      <c r="G422" t="inlineStr">
        <is>
          <t>Laptop</t>
        </is>
      </c>
      <c r="H422" t="inlineStr">
        <is>
          <t>P104</t>
        </is>
      </c>
      <c r="I422" t="inlineStr">
        <is>
          <t>Inspiron 15</t>
        </is>
      </c>
      <c r="J422" t="n">
        <v>12</v>
      </c>
      <c r="K422" s="3" t="n">
        <v>749</v>
      </c>
      <c r="L422" s="4" t="n">
        <v>0.02</v>
      </c>
      <c r="M422" s="3" t="n">
        <v>8808.24</v>
      </c>
      <c r="N422" s="3" t="n">
        <v>750</v>
      </c>
      <c r="O422" s="2" t="n">
        <v>45672</v>
      </c>
      <c r="P422" s="2" t="n">
        <v>45675</v>
      </c>
      <c r="Q422" t="inlineStr">
        <is>
          <t>Bank Transfer</t>
        </is>
      </c>
      <c r="R422" t="inlineStr">
        <is>
          <t>Corporate</t>
        </is>
      </c>
      <c r="S422" t="n">
        <v>3</v>
      </c>
      <c r="T422" t="inlineStr">
        <is>
          <t>NORMAL</t>
        </is>
      </c>
    </row>
    <row r="423">
      <c r="A423" t="inlineStr">
        <is>
          <t>O0422</t>
        </is>
      </c>
      <c r="B423" s="2" t="n">
        <v>45753</v>
      </c>
      <c r="C423" t="inlineStr">
        <is>
          <t>South</t>
        </is>
      </c>
      <c r="D423" t="inlineStr">
        <is>
          <t>Florida</t>
        </is>
      </c>
      <c r="E423" t="inlineStr">
        <is>
          <t>John Smith</t>
        </is>
      </c>
      <c r="F423" t="inlineStr">
        <is>
          <t>John Smith</t>
        </is>
      </c>
      <c r="G423" t="inlineStr">
        <is>
          <t>Accessory</t>
        </is>
      </c>
      <c r="H423" t="inlineStr">
        <is>
          <t>P110</t>
        </is>
      </c>
      <c r="I423" t="inlineStr">
        <is>
          <t>Keyboard</t>
        </is>
      </c>
      <c r="J423" t="n">
        <v>6</v>
      </c>
      <c r="K423" s="3" t="n">
        <v>59</v>
      </c>
      <c r="L423" s="4" t="n">
        <v>0.1</v>
      </c>
      <c r="M423" s="3" t="n">
        <v>318.6</v>
      </c>
      <c r="N423" s="3" t="n">
        <v>750</v>
      </c>
      <c r="O423" s="2" t="n">
        <v>45758</v>
      </c>
      <c r="P423" s="2" t="n">
        <v>45761</v>
      </c>
      <c r="Q423" t="inlineStr">
        <is>
          <t>UPI</t>
        </is>
      </c>
      <c r="R423" t="inlineStr">
        <is>
          <t>New</t>
        </is>
      </c>
      <c r="S423" t="n">
        <v>5</v>
      </c>
      <c r="T423" t="inlineStr">
        <is>
          <t>urgent</t>
        </is>
      </c>
    </row>
    <row r="424">
      <c r="A424" t="inlineStr">
        <is>
          <t>O0423</t>
        </is>
      </c>
      <c r="B424" s="2" t="n">
        <v>45935</v>
      </c>
      <c r="C424" t="inlineStr">
        <is>
          <t>South</t>
        </is>
      </c>
      <c r="D424" t="inlineStr">
        <is>
          <t>Georgia</t>
        </is>
      </c>
      <c r="E424" t="inlineStr">
        <is>
          <t>Priya Patel</t>
        </is>
      </c>
      <c r="F424" t="inlineStr">
        <is>
          <t>Sara Khan</t>
        </is>
      </c>
      <c r="G424" t="inlineStr">
        <is>
          <t>Tablet</t>
        </is>
      </c>
      <c r="H424" t="inlineStr">
        <is>
          <t>P105</t>
        </is>
      </c>
      <c r="I424" t="inlineStr">
        <is>
          <t>iPad Air</t>
        </is>
      </c>
      <c r="J424" t="n">
        <v>1</v>
      </c>
      <c r="K424" s="3" t="n">
        <v>599</v>
      </c>
      <c r="L424" s="4" t="n">
        <v>0.15</v>
      </c>
      <c r="M424" s="3" t="n">
        <v>509.15</v>
      </c>
      <c r="N424" s="3" t="n">
        <v>1000</v>
      </c>
      <c r="O424" s="2" t="n">
        <v>45938</v>
      </c>
      <c r="P424" s="2" t="n">
        <v>45942</v>
      </c>
      <c r="Q424" t="inlineStr">
        <is>
          <t>Credit Card</t>
        </is>
      </c>
      <c r="R424" t="inlineStr">
        <is>
          <t>Corporate</t>
        </is>
      </c>
      <c r="S424" t="n">
        <v>3</v>
      </c>
      <c r="T424" t="inlineStr"/>
    </row>
    <row r="425">
      <c r="A425" t="inlineStr">
        <is>
          <t>O0424</t>
        </is>
      </c>
      <c r="B425" s="2" t="n">
        <v>45690</v>
      </c>
      <c r="C425" t="inlineStr">
        <is>
          <t>West</t>
        </is>
      </c>
      <c r="D425" t="inlineStr">
        <is>
          <t>Texas</t>
        </is>
      </c>
      <c r="E425" t="inlineStr">
        <is>
          <t>Neha Joshi</t>
        </is>
      </c>
      <c r="F425" t="inlineStr">
        <is>
          <t>Sara Khan</t>
        </is>
      </c>
      <c r="G425" t="inlineStr">
        <is>
          <t>Accessory</t>
        </is>
      </c>
      <c r="H425" t="inlineStr">
        <is>
          <t>P112</t>
        </is>
      </c>
      <c r="I425" t="inlineStr">
        <is>
          <t>PowerBank</t>
        </is>
      </c>
      <c r="J425" t="n">
        <v>7</v>
      </c>
      <c r="K425" s="3" t="n">
        <v>49</v>
      </c>
      <c r="L425" s="4" t="n">
        <v>0.02</v>
      </c>
      <c r="M425" s="3" t="n">
        <v>336.14</v>
      </c>
      <c r="N425" s="3" t="n">
        <v>1500</v>
      </c>
      <c r="O425" s="2" t="n">
        <v>45695</v>
      </c>
      <c r="P425" s="2" t="n">
        <v>45702</v>
      </c>
      <c r="Q425" t="inlineStr">
        <is>
          <t>UPI</t>
        </is>
      </c>
      <c r="R425" t="inlineStr">
        <is>
          <t>Corporate</t>
        </is>
      </c>
      <c r="S425" t="n">
        <v>3</v>
      </c>
      <c r="T425" t="inlineStr">
        <is>
          <t>ok</t>
        </is>
      </c>
    </row>
    <row r="426">
      <c r="A426" t="inlineStr">
        <is>
          <t>O0425</t>
        </is>
      </c>
      <c r="B426" s="2" t="n">
        <v>45714</v>
      </c>
      <c r="C426" t="inlineStr">
        <is>
          <t>South</t>
        </is>
      </c>
      <c r="D426" t="inlineStr">
        <is>
          <t>Texas</t>
        </is>
      </c>
      <c r="E426" t="inlineStr">
        <is>
          <t>Priya Patel</t>
        </is>
      </c>
      <c r="F426" t="inlineStr">
        <is>
          <t>rAhUl shAh</t>
        </is>
      </c>
      <c r="G426" t="inlineStr">
        <is>
          <t>Tablet</t>
        </is>
      </c>
      <c r="H426" t="inlineStr">
        <is>
          <t>P106</t>
        </is>
      </c>
      <c r="I426" t="inlineStr">
        <is>
          <t>Galaxy Tab</t>
        </is>
      </c>
      <c r="J426" t="n">
        <v>11</v>
      </c>
      <c r="K426" s="3" t="n">
        <v>499</v>
      </c>
      <c r="L426" s="4" t="n">
        <v>0</v>
      </c>
      <c r="M426" s="3" t="n">
        <v>5489</v>
      </c>
      <c r="N426" s="3" t="n">
        <v>300</v>
      </c>
      <c r="O426" s="2" t="n">
        <v>45715</v>
      </c>
      <c r="P426" s="2" t="n">
        <v>45720</v>
      </c>
      <c r="Q426" t="inlineStr">
        <is>
          <t>Credit Card</t>
        </is>
      </c>
      <c r="R426" t="inlineStr">
        <is>
          <t>New</t>
        </is>
      </c>
      <c r="S426" t="n">
        <v>1</v>
      </c>
      <c r="T426" t="inlineStr">
        <is>
          <t xml:space="preserve">  follow-up  </t>
        </is>
      </c>
    </row>
    <row r="427">
      <c r="A427" t="inlineStr">
        <is>
          <t>O0426</t>
        </is>
      </c>
      <c r="B427" s="2" t="n">
        <v>45950</v>
      </c>
      <c r="C427" t="inlineStr">
        <is>
          <t>West</t>
        </is>
      </c>
      <c r="D427" t="inlineStr">
        <is>
          <t>California</t>
        </is>
      </c>
      <c r="E427" t="inlineStr">
        <is>
          <t>John Smith</t>
        </is>
      </c>
      <c r="F427" t="inlineStr">
        <is>
          <t>Sara Khan</t>
        </is>
      </c>
      <c r="G427" t="inlineStr">
        <is>
          <t>Mobile</t>
        </is>
      </c>
      <c r="H427" t="inlineStr">
        <is>
          <t>P101</t>
        </is>
      </c>
      <c r="I427" t="inlineStr">
        <is>
          <t>iPhone 15</t>
        </is>
      </c>
      <c r="J427" t="n">
        <v>8</v>
      </c>
      <c r="K427" s="3" t="n">
        <v>699</v>
      </c>
      <c r="L427" s="4" t="n">
        <v>0.15</v>
      </c>
      <c r="M427" s="3" t="n">
        <v>4753.2</v>
      </c>
      <c r="N427" s="3" t="n">
        <v>1500</v>
      </c>
      <c r="O427" s="2" t="n">
        <v>45954</v>
      </c>
      <c r="P427" s="2" t="n">
        <v>45960</v>
      </c>
      <c r="Q427" t="inlineStr">
        <is>
          <t>Cash</t>
        </is>
      </c>
      <c r="R427" t="inlineStr">
        <is>
          <t>New</t>
        </is>
      </c>
      <c r="S427" t="n">
        <v>3</v>
      </c>
      <c r="T427" t="inlineStr">
        <is>
          <t>urgent</t>
        </is>
      </c>
    </row>
    <row r="428">
      <c r="A428" t="inlineStr">
        <is>
          <t>O0427</t>
        </is>
      </c>
      <c r="B428" s="2" t="n">
        <v>45993</v>
      </c>
      <c r="C428" t="inlineStr">
        <is>
          <t>East</t>
        </is>
      </c>
      <c r="D428" t="inlineStr">
        <is>
          <t>New York</t>
        </is>
      </c>
      <c r="E428" t="inlineStr">
        <is>
          <t>Amit Shah</t>
        </is>
      </c>
      <c r="F428" t="inlineStr">
        <is>
          <t>Sara Khan</t>
        </is>
      </c>
      <c r="G428" t="inlineStr">
        <is>
          <t>Laptop</t>
        </is>
      </c>
      <c r="H428" t="inlineStr">
        <is>
          <t>P104</t>
        </is>
      </c>
      <c r="I428" t="inlineStr">
        <is>
          <t>Inspiron 15</t>
        </is>
      </c>
      <c r="J428" t="n">
        <v>2</v>
      </c>
      <c r="K428" s="3" t="n">
        <v>749</v>
      </c>
      <c r="L428" s="4" t="n">
        <v>0.1</v>
      </c>
      <c r="M428" s="3" t="n">
        <v>1348.2</v>
      </c>
      <c r="N428" s="3" t="n">
        <v>5000</v>
      </c>
      <c r="O428" s="2" t="n">
        <v>45997</v>
      </c>
      <c r="P428" s="2" t="n">
        <v>46004</v>
      </c>
      <c r="Q428" t="inlineStr">
        <is>
          <t>Cash</t>
        </is>
      </c>
      <c r="R428" t="inlineStr">
        <is>
          <t>Corporate</t>
        </is>
      </c>
      <c r="S428" t="n">
        <v>4</v>
      </c>
      <c r="T428" t="inlineStr"/>
    </row>
    <row r="429">
      <c r="A429" t="inlineStr">
        <is>
          <t>O0428</t>
        </is>
      </c>
      <c r="B429" s="2" t="n">
        <v>45973</v>
      </c>
      <c r="C429" t="inlineStr">
        <is>
          <t>North</t>
        </is>
      </c>
      <c r="D429" t="inlineStr">
        <is>
          <t>Minnesota</t>
        </is>
      </c>
      <c r="E429" t="inlineStr">
        <is>
          <t>Amit Shah</t>
        </is>
      </c>
      <c r="F429" t="inlineStr">
        <is>
          <t>PRIYA PATEL</t>
        </is>
      </c>
      <c r="G429" t="inlineStr">
        <is>
          <t>Mobile</t>
        </is>
      </c>
      <c r="H429" t="inlineStr">
        <is>
          <t>P101</t>
        </is>
      </c>
      <c r="I429" t="inlineStr">
        <is>
          <t>iPhone 15</t>
        </is>
      </c>
      <c r="J429" t="n">
        <v>1</v>
      </c>
      <c r="K429" s="3" t="n">
        <v>699</v>
      </c>
      <c r="L429" s="4" t="n">
        <v>0</v>
      </c>
      <c r="M429" s="3" t="n">
        <v>699</v>
      </c>
      <c r="N429" s="3" t="n">
        <v>5000</v>
      </c>
      <c r="O429" s="2" t="n">
        <v>45976</v>
      </c>
      <c r="P429" s="2" t="n">
        <v>45981</v>
      </c>
      <c r="Q429" t="inlineStr">
        <is>
          <t>UPI</t>
        </is>
      </c>
      <c r="R429" t="inlineStr">
        <is>
          <t>Corporate</t>
        </is>
      </c>
      <c r="S429" t="n">
        <v>1</v>
      </c>
      <c r="T429" t="inlineStr">
        <is>
          <t xml:space="preserve"> normal </t>
        </is>
      </c>
    </row>
    <row r="430">
      <c r="A430" t="inlineStr">
        <is>
          <t>O0429</t>
        </is>
      </c>
      <c r="B430" s="2" t="n">
        <v>45755</v>
      </c>
      <c r="C430" t="inlineStr">
        <is>
          <t>West</t>
        </is>
      </c>
      <c r="D430" t="inlineStr">
        <is>
          <t>Washington</t>
        </is>
      </c>
      <c r="E430" t="inlineStr">
        <is>
          <t>Priya Patel</t>
        </is>
      </c>
      <c r="F430" t="inlineStr">
        <is>
          <t>Sara Khan</t>
        </is>
      </c>
      <c r="G430" t="inlineStr">
        <is>
          <t>Audio</t>
        </is>
      </c>
      <c r="H430" t="inlineStr">
        <is>
          <t>P107</t>
        </is>
      </c>
      <c r="I430" t="inlineStr">
        <is>
          <t>AirPods</t>
        </is>
      </c>
      <c r="J430" t="n">
        <v>11</v>
      </c>
      <c r="K430" s="3" t="n">
        <v>179</v>
      </c>
      <c r="L430" s="4" t="n">
        <v>0.02</v>
      </c>
      <c r="M430" s="3" t="n">
        <v>1929.62</v>
      </c>
      <c r="N430" s="3" t="n">
        <v>1500</v>
      </c>
      <c r="O430" s="2" t="n">
        <v>45757</v>
      </c>
      <c r="P430" s="2" t="n">
        <v>45762</v>
      </c>
      <c r="Q430" t="inlineStr">
        <is>
          <t>Bank Transfer</t>
        </is>
      </c>
      <c r="R430" t="inlineStr">
        <is>
          <t>Corporate</t>
        </is>
      </c>
      <c r="S430" t="n">
        <v>1</v>
      </c>
      <c r="T430" t="inlineStr"/>
    </row>
    <row r="431">
      <c r="A431" t="inlineStr">
        <is>
          <t>O0430</t>
        </is>
      </c>
      <c r="B431" s="2" t="n">
        <v>46017</v>
      </c>
      <c r="C431" t="inlineStr">
        <is>
          <t>North</t>
        </is>
      </c>
      <c r="D431" t="inlineStr">
        <is>
          <t>Minnesota</t>
        </is>
      </c>
      <c r="E431" t="inlineStr">
        <is>
          <t>John Smith</t>
        </is>
      </c>
      <c r="F431" t="inlineStr">
        <is>
          <t xml:space="preserve"> Neha  Joshi </t>
        </is>
      </c>
      <c r="G431" t="inlineStr">
        <is>
          <t>Audio</t>
        </is>
      </c>
      <c r="H431" t="inlineStr">
        <is>
          <t>P108</t>
        </is>
      </c>
      <c r="I431" t="inlineStr">
        <is>
          <t>Buds Pro</t>
        </is>
      </c>
      <c r="J431" t="n">
        <v>3</v>
      </c>
      <c r="K431" s="3" t="n">
        <v>129</v>
      </c>
      <c r="L431" s="4" t="n">
        <v>0.02</v>
      </c>
      <c r="M431" s="3" t="n">
        <v>379.26</v>
      </c>
      <c r="N431" s="3" t="n">
        <v>1500</v>
      </c>
      <c r="O431" s="2" t="n">
        <v>46021</v>
      </c>
      <c r="P431" s="2" t="n">
        <v>46022</v>
      </c>
      <c r="Q431" t="inlineStr">
        <is>
          <t>Cash</t>
        </is>
      </c>
      <c r="R431" t="inlineStr">
        <is>
          <t>Corporate</t>
        </is>
      </c>
      <c r="S431" t="n">
        <v>2</v>
      </c>
      <c r="T431" t="inlineStr">
        <is>
          <t>NORMAL</t>
        </is>
      </c>
    </row>
    <row r="432">
      <c r="A432" t="inlineStr">
        <is>
          <t>O0431</t>
        </is>
      </c>
      <c r="B432" s="2" t="n">
        <v>45939</v>
      </c>
      <c r="C432" t="inlineStr">
        <is>
          <t>South</t>
        </is>
      </c>
      <c r="D432" t="inlineStr">
        <is>
          <t>Georgia</t>
        </is>
      </c>
      <c r="E432" t="inlineStr">
        <is>
          <t>Neha Joshi</t>
        </is>
      </c>
      <c r="F432" t="inlineStr">
        <is>
          <t>Sara Khan</t>
        </is>
      </c>
      <c r="G432" t="inlineStr">
        <is>
          <t>Tablet</t>
        </is>
      </c>
      <c r="H432" t="inlineStr">
        <is>
          <t>P106</t>
        </is>
      </c>
      <c r="I432" t="inlineStr">
        <is>
          <t>Galaxy Tab</t>
        </is>
      </c>
      <c r="J432" t="n">
        <v>6</v>
      </c>
      <c r="K432" s="3" t="n">
        <v>499</v>
      </c>
      <c r="L432" s="4" t="n">
        <v>0.1</v>
      </c>
      <c r="M432" s="3" t="n">
        <v>2694.6</v>
      </c>
      <c r="N432" s="3" t="n">
        <v>5000</v>
      </c>
      <c r="O432" s="2" t="n">
        <v>45942</v>
      </c>
      <c r="P432" s="2" t="n">
        <v>45949</v>
      </c>
      <c r="Q432" t="inlineStr">
        <is>
          <t>Cash</t>
        </is>
      </c>
      <c r="R432" t="inlineStr">
        <is>
          <t>Corporate</t>
        </is>
      </c>
      <c r="S432" t="n">
        <v>2</v>
      </c>
      <c r="T432" t="inlineStr">
        <is>
          <t>NORMAL</t>
        </is>
      </c>
    </row>
    <row r="433">
      <c r="A433" t="inlineStr">
        <is>
          <t>O0432</t>
        </is>
      </c>
      <c r="B433" s="2" t="n">
        <v>45788</v>
      </c>
      <c r="C433" t="inlineStr">
        <is>
          <t>West</t>
        </is>
      </c>
      <c r="D433" t="inlineStr">
        <is>
          <t>Texas</t>
        </is>
      </c>
      <c r="E433" t="inlineStr">
        <is>
          <t>Amit Shah</t>
        </is>
      </c>
      <c r="F433" t="inlineStr">
        <is>
          <t>Sara Khan</t>
        </is>
      </c>
      <c r="G433" t="inlineStr">
        <is>
          <t>Monitor</t>
        </is>
      </c>
      <c r="H433" t="inlineStr">
        <is>
          <t>P109</t>
        </is>
      </c>
      <c r="I433" t="inlineStr">
        <is>
          <t>Monitor 24</t>
        </is>
      </c>
      <c r="J433" t="n">
        <v>8</v>
      </c>
      <c r="K433" s="3" t="n">
        <v>229</v>
      </c>
      <c r="L433" s="4" t="n">
        <v>0.1</v>
      </c>
      <c r="M433" s="3" t="n">
        <v>1648.8</v>
      </c>
      <c r="N433" s="3" t="n">
        <v>300</v>
      </c>
      <c r="O433" s="2" t="n">
        <v>45791</v>
      </c>
      <c r="P433" s="2" t="n">
        <v>45795</v>
      </c>
      <c r="Q433" t="inlineStr">
        <is>
          <t>Cash</t>
        </is>
      </c>
      <c r="R433" t="inlineStr">
        <is>
          <t>Corporate</t>
        </is>
      </c>
      <c r="S433" t="n">
        <v>1</v>
      </c>
      <c r="T433" t="inlineStr">
        <is>
          <t>NORMAL</t>
        </is>
      </c>
    </row>
    <row r="434">
      <c r="A434" t="inlineStr">
        <is>
          <t>O0433</t>
        </is>
      </c>
      <c r="B434" s="2" t="n">
        <v>45811</v>
      </c>
      <c r="C434" t="inlineStr">
        <is>
          <t>West</t>
        </is>
      </c>
      <c r="D434" t="inlineStr">
        <is>
          <t>Texas</t>
        </is>
      </c>
      <c r="E434" t="inlineStr">
        <is>
          <t>Rahul Mehta</t>
        </is>
      </c>
      <c r="F434" t="inlineStr">
        <is>
          <t>Sara Khan</t>
        </is>
      </c>
      <c r="G434" t="inlineStr">
        <is>
          <t>Mobile</t>
        </is>
      </c>
      <c r="H434" t="inlineStr">
        <is>
          <t>P101</t>
        </is>
      </c>
      <c r="I434" t="inlineStr">
        <is>
          <t>iPhone 15</t>
        </is>
      </c>
      <c r="J434" t="n">
        <v>14</v>
      </c>
      <c r="K434" s="3" t="n">
        <v>699</v>
      </c>
      <c r="L434" s="4" t="n">
        <v>0.05</v>
      </c>
      <c r="M434" s="3" t="n">
        <v>9296.700000000001</v>
      </c>
      <c r="N434" s="3" t="n">
        <v>300</v>
      </c>
      <c r="O434" s="2" t="n">
        <v>45813</v>
      </c>
      <c r="P434" s="2" t="n">
        <v>45815</v>
      </c>
      <c r="Q434" t="inlineStr">
        <is>
          <t>UPI</t>
        </is>
      </c>
      <c r="R434" t="inlineStr">
        <is>
          <t>New</t>
        </is>
      </c>
      <c r="S434" t="n">
        <v>1</v>
      </c>
      <c r="T434" t="inlineStr">
        <is>
          <t xml:space="preserve">  follow-up  </t>
        </is>
      </c>
    </row>
    <row r="435">
      <c r="A435" t="inlineStr">
        <is>
          <t>O0434</t>
        </is>
      </c>
      <c r="B435" s="2" t="n">
        <v>45793</v>
      </c>
      <c r="C435" t="inlineStr">
        <is>
          <t>North</t>
        </is>
      </c>
      <c r="D435" t="inlineStr">
        <is>
          <t>Illinois</t>
        </is>
      </c>
      <c r="E435" t="inlineStr">
        <is>
          <t>Amit Shah</t>
        </is>
      </c>
      <c r="F435" t="inlineStr">
        <is>
          <t>PRIYA PATEL</t>
        </is>
      </c>
      <c r="G435" t="inlineStr">
        <is>
          <t>Laptop</t>
        </is>
      </c>
      <c r="H435" t="inlineStr">
        <is>
          <t>P103</t>
        </is>
      </c>
      <c r="I435" t="inlineStr">
        <is>
          <t>ThinkPad E14</t>
        </is>
      </c>
      <c r="J435" t="n">
        <v>4</v>
      </c>
      <c r="K435" s="3" t="n">
        <v>899</v>
      </c>
      <c r="L435" s="4" t="n">
        <v>0.02</v>
      </c>
      <c r="M435" s="3" t="n">
        <v>3524.08</v>
      </c>
      <c r="N435" s="3" t="n">
        <v>750</v>
      </c>
      <c r="O435" s="2" t="n">
        <v>45796</v>
      </c>
      <c r="P435" s="2" t="n">
        <v>45801</v>
      </c>
      <c r="Q435" t="inlineStr">
        <is>
          <t>Bank Transfer</t>
        </is>
      </c>
      <c r="R435" t="inlineStr">
        <is>
          <t>Corporate</t>
        </is>
      </c>
      <c r="S435" t="n">
        <v>2</v>
      </c>
      <c r="T435" t="inlineStr">
        <is>
          <t>refund pending</t>
        </is>
      </c>
    </row>
    <row r="436">
      <c r="A436" t="inlineStr">
        <is>
          <t>O0435</t>
        </is>
      </c>
      <c r="B436" s="2" t="n">
        <v>45905</v>
      </c>
      <c r="C436" t="inlineStr">
        <is>
          <t>East</t>
        </is>
      </c>
      <c r="D436" t="inlineStr">
        <is>
          <t>New Jersey</t>
        </is>
      </c>
      <c r="E436" t="inlineStr">
        <is>
          <t>John Smith</t>
        </is>
      </c>
      <c r="F436" t="inlineStr">
        <is>
          <t xml:space="preserve"> Rahul Shah </t>
        </is>
      </c>
      <c r="G436" t="inlineStr">
        <is>
          <t>Tablet</t>
        </is>
      </c>
      <c r="H436" t="inlineStr">
        <is>
          <t>P106</t>
        </is>
      </c>
      <c r="I436" t="inlineStr">
        <is>
          <t>Galaxy Tab</t>
        </is>
      </c>
      <c r="J436" t="n">
        <v>14</v>
      </c>
      <c r="K436" s="3" t="n">
        <v>499</v>
      </c>
      <c r="L436" s="4" t="n">
        <v>0.15</v>
      </c>
      <c r="M436" s="3" t="n">
        <v>5938.1</v>
      </c>
      <c r="N436" s="3" t="n">
        <v>5000</v>
      </c>
      <c r="O436" s="2" t="n">
        <v>45907</v>
      </c>
      <c r="P436" s="2" t="n">
        <v>45911</v>
      </c>
      <c r="Q436" t="inlineStr">
        <is>
          <t>Cash</t>
        </is>
      </c>
      <c r="R436" t="inlineStr">
        <is>
          <t>New</t>
        </is>
      </c>
      <c r="S436" t="n">
        <v>5</v>
      </c>
      <c r="T436" t="inlineStr">
        <is>
          <t xml:space="preserve">  follow-up  </t>
        </is>
      </c>
    </row>
    <row r="437">
      <c r="A437" t="inlineStr">
        <is>
          <t>O0436</t>
        </is>
      </c>
      <c r="B437" s="2" t="n">
        <v>45836</v>
      </c>
      <c r="C437" t="inlineStr">
        <is>
          <t>East</t>
        </is>
      </c>
      <c r="D437" t="inlineStr">
        <is>
          <t>New York</t>
        </is>
      </c>
      <c r="E437" t="inlineStr">
        <is>
          <t>Sara Khan</t>
        </is>
      </c>
      <c r="F437" t="inlineStr">
        <is>
          <t>rAhUl shAh</t>
        </is>
      </c>
      <c r="G437" t="inlineStr">
        <is>
          <t>Tablet</t>
        </is>
      </c>
      <c r="H437" t="inlineStr">
        <is>
          <t>P106</t>
        </is>
      </c>
      <c r="I437" t="inlineStr">
        <is>
          <t>Galaxy Tab</t>
        </is>
      </c>
      <c r="J437" t="n">
        <v>15</v>
      </c>
      <c r="K437" s="3" t="n">
        <v>499</v>
      </c>
      <c r="L437" s="4" t="n">
        <v>0</v>
      </c>
      <c r="M437" s="3" t="n">
        <v>7485</v>
      </c>
      <c r="N437" s="3" t="n">
        <v>5000</v>
      </c>
      <c r="O437" s="2" t="n">
        <v>45840</v>
      </c>
      <c r="P437" s="2" t="n">
        <v>45844</v>
      </c>
      <c r="Q437" t="inlineStr">
        <is>
          <t>Credit Card</t>
        </is>
      </c>
      <c r="R437" t="inlineStr">
        <is>
          <t>Corporate</t>
        </is>
      </c>
      <c r="S437" t="n">
        <v>4</v>
      </c>
      <c r="T437" t="inlineStr">
        <is>
          <t xml:space="preserve"> normal </t>
        </is>
      </c>
    </row>
    <row r="438">
      <c r="A438" t="inlineStr">
        <is>
          <t>O0437</t>
        </is>
      </c>
      <c r="B438" s="2" t="n">
        <v>45821</v>
      </c>
      <c r="C438" t="inlineStr">
        <is>
          <t>North</t>
        </is>
      </c>
      <c r="D438" t="inlineStr">
        <is>
          <t>Minnesota</t>
        </is>
      </c>
      <c r="E438" t="inlineStr">
        <is>
          <t>Priya Patel</t>
        </is>
      </c>
      <c r="F438" t="inlineStr">
        <is>
          <t>Sara Khan</t>
        </is>
      </c>
      <c r="G438" t="inlineStr">
        <is>
          <t>Mobile</t>
        </is>
      </c>
      <c r="H438" t="inlineStr">
        <is>
          <t>P101</t>
        </is>
      </c>
      <c r="I438" t="inlineStr">
        <is>
          <t>iPhone 15</t>
        </is>
      </c>
      <c r="J438" t="n">
        <v>3</v>
      </c>
      <c r="K438" s="3" t="n">
        <v>699</v>
      </c>
      <c r="L438" s="4" t="n">
        <v>0.05</v>
      </c>
      <c r="M438" s="3" t="n">
        <v>1992.15</v>
      </c>
      <c r="N438" s="3" t="n">
        <v>1500</v>
      </c>
      <c r="O438" s="2" t="n">
        <v>45826</v>
      </c>
      <c r="P438" s="2" t="n">
        <v>45831</v>
      </c>
      <c r="Q438" t="inlineStr">
        <is>
          <t>UPI</t>
        </is>
      </c>
      <c r="R438" t="inlineStr">
        <is>
          <t>New</t>
        </is>
      </c>
      <c r="S438" t="n">
        <v>4</v>
      </c>
      <c r="T438" t="inlineStr">
        <is>
          <t xml:space="preserve">  follow-up  </t>
        </is>
      </c>
    </row>
    <row r="439">
      <c r="A439" t="inlineStr">
        <is>
          <t>O0438</t>
        </is>
      </c>
      <c r="B439" s="2" t="n">
        <v>45806</v>
      </c>
      <c r="C439" t="inlineStr">
        <is>
          <t>East</t>
        </is>
      </c>
      <c r="D439" t="inlineStr">
        <is>
          <t>New York</t>
        </is>
      </c>
      <c r="E439" t="inlineStr">
        <is>
          <t>John Smith</t>
        </is>
      </c>
      <c r="F439" t="inlineStr">
        <is>
          <t xml:space="preserve"> Neha  Joshi </t>
        </is>
      </c>
      <c r="G439" t="inlineStr">
        <is>
          <t>Audio</t>
        </is>
      </c>
      <c r="H439" t="inlineStr">
        <is>
          <t>P107</t>
        </is>
      </c>
      <c r="I439" t="inlineStr">
        <is>
          <t>AirPods</t>
        </is>
      </c>
      <c r="J439" t="n">
        <v>3</v>
      </c>
      <c r="K439" s="3" t="n">
        <v>179</v>
      </c>
      <c r="L439" s="4" t="n">
        <v>0.05</v>
      </c>
      <c r="M439" s="3" t="n">
        <v>510.15</v>
      </c>
      <c r="N439" s="3" t="n">
        <v>300</v>
      </c>
      <c r="O439" s="2" t="n">
        <v>45810</v>
      </c>
      <c r="P439" s="2" t="n">
        <v>45812</v>
      </c>
      <c r="Q439" t="inlineStr">
        <is>
          <t>Credit Card</t>
        </is>
      </c>
      <c r="R439" t="inlineStr">
        <is>
          <t>Corporate</t>
        </is>
      </c>
      <c r="S439" t="n">
        <v>4</v>
      </c>
      <c r="T439" t="inlineStr">
        <is>
          <t>ok</t>
        </is>
      </c>
    </row>
    <row r="440">
      <c r="A440" t="inlineStr">
        <is>
          <t>O0439</t>
        </is>
      </c>
      <c r="B440" s="2" t="n">
        <v>45880</v>
      </c>
      <c r="C440" t="inlineStr">
        <is>
          <t>East</t>
        </is>
      </c>
      <c r="D440" t="inlineStr">
        <is>
          <t>Massachusetts</t>
        </is>
      </c>
      <c r="E440" t="inlineStr">
        <is>
          <t>Neha Joshi</t>
        </is>
      </c>
      <c r="F440" t="inlineStr">
        <is>
          <t>rAhUl shAh</t>
        </is>
      </c>
      <c r="G440" t="inlineStr">
        <is>
          <t>Monitor</t>
        </is>
      </c>
      <c r="H440" t="inlineStr">
        <is>
          <t>P109</t>
        </is>
      </c>
      <c r="I440" t="inlineStr">
        <is>
          <t>Monitor 24</t>
        </is>
      </c>
      <c r="J440" t="n">
        <v>3</v>
      </c>
      <c r="K440" s="3" t="n">
        <v>229</v>
      </c>
      <c r="L440" s="4" t="n">
        <v>0.1</v>
      </c>
      <c r="M440" s="3" t="n">
        <v>618.3</v>
      </c>
      <c r="N440" s="3" t="n">
        <v>1500</v>
      </c>
      <c r="O440" s="2" t="n">
        <v>45882</v>
      </c>
      <c r="P440" s="2" t="n">
        <v>45889</v>
      </c>
      <c r="Q440" t="inlineStr">
        <is>
          <t>Bank Transfer</t>
        </is>
      </c>
      <c r="R440" t="inlineStr">
        <is>
          <t>Corporate</t>
        </is>
      </c>
      <c r="S440" t="n">
        <v>5</v>
      </c>
      <c r="T440" t="inlineStr">
        <is>
          <t>urgent</t>
        </is>
      </c>
    </row>
    <row r="441">
      <c r="A441" t="inlineStr">
        <is>
          <t>O0440</t>
        </is>
      </c>
      <c r="B441" s="2" t="n">
        <v>45794</v>
      </c>
      <c r="C441" t="inlineStr">
        <is>
          <t>West</t>
        </is>
      </c>
      <c r="D441" t="inlineStr">
        <is>
          <t>California</t>
        </is>
      </c>
      <c r="E441" t="inlineStr">
        <is>
          <t>Sara Khan</t>
        </is>
      </c>
      <c r="F441" t="inlineStr">
        <is>
          <t xml:space="preserve"> Rahul Shah </t>
        </is>
      </c>
      <c r="G441" t="inlineStr">
        <is>
          <t>Mobile</t>
        </is>
      </c>
      <c r="H441" t="inlineStr">
        <is>
          <t>P102</t>
        </is>
      </c>
      <c r="I441" t="inlineStr">
        <is>
          <t>Galaxy S24</t>
        </is>
      </c>
      <c r="J441" t="n">
        <v>11</v>
      </c>
      <c r="K441" s="3" t="n">
        <v>799</v>
      </c>
      <c r="L441" s="4" t="n">
        <v>0.15</v>
      </c>
      <c r="M441" s="3" t="n">
        <v>7470.65</v>
      </c>
      <c r="N441" s="3" t="n">
        <v>300</v>
      </c>
      <c r="O441" s="2" t="n">
        <v>45798</v>
      </c>
      <c r="P441" s="2" t="n">
        <v>45801</v>
      </c>
      <c r="Q441" t="inlineStr">
        <is>
          <t>Bank Transfer</t>
        </is>
      </c>
      <c r="R441" t="inlineStr">
        <is>
          <t>Returning</t>
        </is>
      </c>
      <c r="S441" t="n">
        <v>3</v>
      </c>
      <c r="T441" t="inlineStr">
        <is>
          <t>ok</t>
        </is>
      </c>
    </row>
    <row r="442">
      <c r="A442" t="inlineStr">
        <is>
          <t>O0441</t>
        </is>
      </c>
      <c r="B442" s="2" t="n">
        <v>45962</v>
      </c>
      <c r="C442" t="inlineStr">
        <is>
          <t>West</t>
        </is>
      </c>
      <c r="D442" t="inlineStr">
        <is>
          <t>Texas</t>
        </is>
      </c>
      <c r="E442" t="inlineStr">
        <is>
          <t>Neha Joshi</t>
        </is>
      </c>
      <c r="F442" t="inlineStr">
        <is>
          <t>John Smith</t>
        </is>
      </c>
      <c r="G442" t="inlineStr">
        <is>
          <t>Tablet</t>
        </is>
      </c>
      <c r="H442" t="inlineStr">
        <is>
          <t>P106</t>
        </is>
      </c>
      <c r="I442" t="inlineStr">
        <is>
          <t>Galaxy Tab</t>
        </is>
      </c>
      <c r="J442" t="n">
        <v>5</v>
      </c>
      <c r="K442" s="3" t="n">
        <v>499</v>
      </c>
      <c r="L442" s="4" t="n">
        <v>0.02</v>
      </c>
      <c r="M442" s="3" t="n">
        <v>2445.1</v>
      </c>
      <c r="N442" s="3" t="n">
        <v>750</v>
      </c>
      <c r="O442" s="2" t="n">
        <v>45963</v>
      </c>
      <c r="P442" s="2" t="n">
        <v>45970</v>
      </c>
      <c r="Q442" t="inlineStr">
        <is>
          <t>UPI</t>
        </is>
      </c>
      <c r="R442" t="inlineStr">
        <is>
          <t>Returning</t>
        </is>
      </c>
      <c r="S442" t="n">
        <v>1</v>
      </c>
      <c r="T442" t="inlineStr"/>
    </row>
    <row r="443">
      <c r="A443" t="inlineStr">
        <is>
          <t>O0442</t>
        </is>
      </c>
      <c r="B443" s="2" t="n">
        <v>45849</v>
      </c>
      <c r="C443" t="inlineStr">
        <is>
          <t>West</t>
        </is>
      </c>
      <c r="D443" t="inlineStr">
        <is>
          <t>California</t>
        </is>
      </c>
      <c r="E443" t="inlineStr">
        <is>
          <t>Amit Shah</t>
        </is>
      </c>
      <c r="F443" t="inlineStr">
        <is>
          <t>Sara Khan</t>
        </is>
      </c>
      <c r="G443" t="inlineStr">
        <is>
          <t>Accessory</t>
        </is>
      </c>
      <c r="H443" t="inlineStr">
        <is>
          <t>P111</t>
        </is>
      </c>
      <c r="I443" t="inlineStr">
        <is>
          <t>Mouse</t>
        </is>
      </c>
      <c r="J443" t="n">
        <v>12</v>
      </c>
      <c r="K443" s="3" t="n">
        <v>39</v>
      </c>
      <c r="L443" s="4" t="n">
        <v>0</v>
      </c>
      <c r="M443" s="3" t="n">
        <v>468</v>
      </c>
      <c r="N443" s="3" t="n">
        <v>300</v>
      </c>
      <c r="O443" s="2" t="n">
        <v>45851</v>
      </c>
      <c r="P443" s="2" t="n">
        <v>45858</v>
      </c>
      <c r="Q443" t="inlineStr">
        <is>
          <t>UPI</t>
        </is>
      </c>
      <c r="R443" t="inlineStr">
        <is>
          <t>Corporate</t>
        </is>
      </c>
      <c r="S443" t="n">
        <v>2</v>
      </c>
      <c r="T443" t="inlineStr"/>
    </row>
    <row r="444">
      <c r="A444" t="inlineStr">
        <is>
          <t>O0443</t>
        </is>
      </c>
      <c r="B444" s="2" t="n">
        <v>46013</v>
      </c>
      <c r="C444" t="inlineStr">
        <is>
          <t>North</t>
        </is>
      </c>
      <c r="D444" t="inlineStr">
        <is>
          <t>Illinois</t>
        </is>
      </c>
      <c r="E444" t="inlineStr">
        <is>
          <t>Priya Patel</t>
        </is>
      </c>
      <c r="F444" t="inlineStr">
        <is>
          <t>PRIYA PATEL</t>
        </is>
      </c>
      <c r="G444" t="inlineStr">
        <is>
          <t>Tablet</t>
        </is>
      </c>
      <c r="H444" t="inlineStr">
        <is>
          <t>P106</t>
        </is>
      </c>
      <c r="I444" t="inlineStr">
        <is>
          <t>Galaxy Tab</t>
        </is>
      </c>
      <c r="J444" t="n">
        <v>8</v>
      </c>
      <c r="K444" s="3" t="n">
        <v>499</v>
      </c>
      <c r="L444" s="4" t="n">
        <v>0.1</v>
      </c>
      <c r="M444" s="3" t="n">
        <v>3592.8</v>
      </c>
      <c r="N444" s="3" t="n">
        <v>300</v>
      </c>
      <c r="O444" s="2" t="n">
        <v>46014</v>
      </c>
      <c r="P444" s="2" t="n">
        <v>46017</v>
      </c>
      <c r="Q444" t="inlineStr">
        <is>
          <t>UPI</t>
        </is>
      </c>
      <c r="R444" t="inlineStr">
        <is>
          <t>New</t>
        </is>
      </c>
      <c r="S444" t="n">
        <v>5</v>
      </c>
      <c r="T444" t="inlineStr">
        <is>
          <t>NORMAL</t>
        </is>
      </c>
    </row>
    <row r="445">
      <c r="A445" t="inlineStr">
        <is>
          <t>O0444</t>
        </is>
      </c>
      <c r="B445" s="2" t="n">
        <v>45976</v>
      </c>
      <c r="C445" t="inlineStr">
        <is>
          <t>North</t>
        </is>
      </c>
      <c r="D445" t="inlineStr">
        <is>
          <t>Minnesota</t>
        </is>
      </c>
      <c r="E445" t="inlineStr">
        <is>
          <t>Sara Khan</t>
        </is>
      </c>
      <c r="F445" t="inlineStr">
        <is>
          <t xml:space="preserve">John Smith </t>
        </is>
      </c>
      <c r="G445" t="inlineStr">
        <is>
          <t>Audio</t>
        </is>
      </c>
      <c r="H445" t="inlineStr">
        <is>
          <t>P108</t>
        </is>
      </c>
      <c r="I445" t="inlineStr">
        <is>
          <t>Buds Pro</t>
        </is>
      </c>
      <c r="J445" t="n">
        <v>12</v>
      </c>
      <c r="K445" s="3" t="n">
        <v>129</v>
      </c>
      <c r="L445" s="4" t="n">
        <v>0</v>
      </c>
      <c r="M445" s="3" t="n">
        <v>1548</v>
      </c>
      <c r="N445" s="3" t="n">
        <v>1000</v>
      </c>
      <c r="O445" s="2" t="n">
        <v>45978</v>
      </c>
      <c r="P445" s="2" t="n">
        <v>45984</v>
      </c>
      <c r="Q445" t="inlineStr">
        <is>
          <t>Credit Card</t>
        </is>
      </c>
      <c r="R445" t="inlineStr">
        <is>
          <t>Returning</t>
        </is>
      </c>
      <c r="S445" t="n">
        <v>2</v>
      </c>
      <c r="T445" t="inlineStr">
        <is>
          <t xml:space="preserve"> normal </t>
        </is>
      </c>
    </row>
    <row r="446">
      <c r="A446" t="inlineStr">
        <is>
          <t>O0445</t>
        </is>
      </c>
      <c r="B446" s="2" t="n">
        <v>45974</v>
      </c>
      <c r="C446" t="inlineStr">
        <is>
          <t>North</t>
        </is>
      </c>
      <c r="D446" t="inlineStr">
        <is>
          <t>Illinois</t>
        </is>
      </c>
      <c r="E446" t="inlineStr">
        <is>
          <t>Sara Khan</t>
        </is>
      </c>
      <c r="F446" t="inlineStr">
        <is>
          <t xml:space="preserve"> Neha  Joshi </t>
        </is>
      </c>
      <c r="G446" t="inlineStr">
        <is>
          <t>Accessory</t>
        </is>
      </c>
      <c r="H446" t="inlineStr">
        <is>
          <t>P112</t>
        </is>
      </c>
      <c r="I446" t="inlineStr">
        <is>
          <t>PowerBank</t>
        </is>
      </c>
      <c r="J446" t="n">
        <v>8</v>
      </c>
      <c r="K446" s="3" t="n">
        <v>49</v>
      </c>
      <c r="L446" s="4" t="n">
        <v>0</v>
      </c>
      <c r="M446" s="3" t="n">
        <v>392</v>
      </c>
      <c r="N446" s="3" t="n">
        <v>300</v>
      </c>
      <c r="O446" s="2" t="n">
        <v>45977</v>
      </c>
      <c r="P446" s="2" t="n">
        <v>45978</v>
      </c>
      <c r="Q446" t="inlineStr">
        <is>
          <t>Cash</t>
        </is>
      </c>
      <c r="R446" t="inlineStr">
        <is>
          <t>Corporate</t>
        </is>
      </c>
      <c r="S446" t="n">
        <v>3</v>
      </c>
      <c r="T446" t="inlineStr"/>
    </row>
    <row r="447">
      <c r="A447" t="inlineStr">
        <is>
          <t>O0446</t>
        </is>
      </c>
      <c r="B447" s="2" t="n">
        <v>45990</v>
      </c>
      <c r="C447" t="inlineStr">
        <is>
          <t>East</t>
        </is>
      </c>
      <c r="D447" t="inlineStr">
        <is>
          <t>New York</t>
        </is>
      </c>
      <c r="E447" t="inlineStr">
        <is>
          <t>Rahul Mehta</t>
        </is>
      </c>
      <c r="F447" t="inlineStr">
        <is>
          <t xml:space="preserve"> Rahul Shah </t>
        </is>
      </c>
      <c r="G447" t="inlineStr">
        <is>
          <t>Tablet</t>
        </is>
      </c>
      <c r="H447" t="inlineStr">
        <is>
          <t>P105</t>
        </is>
      </c>
      <c r="I447" t="inlineStr">
        <is>
          <t>iPad Air</t>
        </is>
      </c>
      <c r="J447" t="n">
        <v>7</v>
      </c>
      <c r="K447" s="3" t="n">
        <v>599</v>
      </c>
      <c r="L447" s="4" t="n">
        <v>0.15</v>
      </c>
      <c r="M447" s="3" t="n">
        <v>3564.05</v>
      </c>
      <c r="N447" s="3" t="n">
        <v>2500</v>
      </c>
      <c r="O447" s="2" t="n">
        <v>45994</v>
      </c>
      <c r="P447" s="2" t="n">
        <v>45996</v>
      </c>
      <c r="Q447" t="inlineStr">
        <is>
          <t>Bank Transfer</t>
        </is>
      </c>
      <c r="R447" t="inlineStr">
        <is>
          <t>Corporate</t>
        </is>
      </c>
      <c r="S447" t="n">
        <v>5</v>
      </c>
      <c r="T447" t="inlineStr">
        <is>
          <t xml:space="preserve"> normal </t>
        </is>
      </c>
    </row>
    <row r="448">
      <c r="A448" t="inlineStr">
        <is>
          <t>O0447</t>
        </is>
      </c>
      <c r="B448" s="2" t="n">
        <v>45892</v>
      </c>
      <c r="C448" t="inlineStr">
        <is>
          <t>West</t>
        </is>
      </c>
      <c r="D448" t="inlineStr">
        <is>
          <t>California</t>
        </is>
      </c>
      <c r="E448" t="inlineStr">
        <is>
          <t>Rahul Mehta</t>
        </is>
      </c>
      <c r="F448" t="inlineStr">
        <is>
          <t>John Smith</t>
        </is>
      </c>
      <c r="G448" t="inlineStr">
        <is>
          <t>Monitor</t>
        </is>
      </c>
      <c r="H448" t="inlineStr">
        <is>
          <t>P109</t>
        </is>
      </c>
      <c r="I448" t="inlineStr">
        <is>
          <t>Monitor 24</t>
        </is>
      </c>
      <c r="J448" t="n">
        <v>1</v>
      </c>
      <c r="K448" s="3" t="n">
        <v>229</v>
      </c>
      <c r="L448" s="4" t="n">
        <v>0</v>
      </c>
      <c r="M448" s="3" t="n">
        <v>229</v>
      </c>
      <c r="N448" s="3" t="n">
        <v>500</v>
      </c>
      <c r="O448" s="2" t="n">
        <v>45897</v>
      </c>
      <c r="P448" s="2" t="n">
        <v>45903</v>
      </c>
      <c r="Q448" t="inlineStr">
        <is>
          <t>Cash</t>
        </is>
      </c>
      <c r="R448" t="inlineStr">
        <is>
          <t>Returning</t>
        </is>
      </c>
      <c r="S448" t="n">
        <v>4</v>
      </c>
      <c r="T448" t="inlineStr">
        <is>
          <t>refund pending</t>
        </is>
      </c>
    </row>
    <row r="449">
      <c r="A449" t="inlineStr">
        <is>
          <t>O0448</t>
        </is>
      </c>
      <c r="B449" s="2" t="n">
        <v>46008</v>
      </c>
      <c r="C449" t="inlineStr">
        <is>
          <t>West</t>
        </is>
      </c>
      <c r="D449" t="inlineStr">
        <is>
          <t>California</t>
        </is>
      </c>
      <c r="E449" t="inlineStr">
        <is>
          <t>Rahul Mehta</t>
        </is>
      </c>
      <c r="F449" t="inlineStr">
        <is>
          <t>John Smith</t>
        </is>
      </c>
      <c r="G449" t="inlineStr">
        <is>
          <t>Tablet</t>
        </is>
      </c>
      <c r="H449" t="inlineStr">
        <is>
          <t>P106</t>
        </is>
      </c>
      <c r="I449" t="inlineStr">
        <is>
          <t>Galaxy Tab</t>
        </is>
      </c>
      <c r="J449" t="n">
        <v>11</v>
      </c>
      <c r="K449" s="3" t="n">
        <v>499</v>
      </c>
      <c r="L449" s="4" t="n">
        <v>0.05</v>
      </c>
      <c r="M449" s="3" t="n">
        <v>5214.55</v>
      </c>
      <c r="N449" s="3" t="n">
        <v>500</v>
      </c>
      <c r="O449" s="2" t="n">
        <v>46011</v>
      </c>
      <c r="P449" s="2" t="n">
        <v>46014</v>
      </c>
      <c r="Q449" t="inlineStr">
        <is>
          <t>Credit Card</t>
        </is>
      </c>
      <c r="R449" t="inlineStr">
        <is>
          <t>Corporate</t>
        </is>
      </c>
      <c r="S449" t="n">
        <v>3</v>
      </c>
      <c r="T449" t="inlineStr">
        <is>
          <t xml:space="preserve">  follow-up  </t>
        </is>
      </c>
    </row>
    <row r="450">
      <c r="A450" t="inlineStr">
        <is>
          <t>O0449</t>
        </is>
      </c>
      <c r="B450" s="2" t="n">
        <v>45773</v>
      </c>
      <c r="C450" t="inlineStr">
        <is>
          <t>East</t>
        </is>
      </c>
      <c r="D450" t="inlineStr">
        <is>
          <t>New Jersey</t>
        </is>
      </c>
      <c r="E450" t="inlineStr">
        <is>
          <t>Amit Shah</t>
        </is>
      </c>
      <c r="F450" t="inlineStr">
        <is>
          <t>rAhUl shAh</t>
        </is>
      </c>
      <c r="G450" t="inlineStr">
        <is>
          <t>Tablet</t>
        </is>
      </c>
      <c r="H450" t="inlineStr">
        <is>
          <t>P105</t>
        </is>
      </c>
      <c r="I450" t="inlineStr">
        <is>
          <t>iPad Air</t>
        </is>
      </c>
      <c r="J450" t="n">
        <v>15</v>
      </c>
      <c r="K450" s="3" t="n">
        <v>599</v>
      </c>
      <c r="L450" s="4" t="n">
        <v>0.1</v>
      </c>
      <c r="M450" s="3" t="n">
        <v>8086.5</v>
      </c>
      <c r="N450" s="3" t="n">
        <v>2500</v>
      </c>
      <c r="O450" s="2" t="n">
        <v>45775</v>
      </c>
      <c r="P450" s="2" t="n">
        <v>45778</v>
      </c>
      <c r="Q450" t="inlineStr">
        <is>
          <t>Bank Transfer</t>
        </is>
      </c>
      <c r="R450" t="inlineStr">
        <is>
          <t>Corporate</t>
        </is>
      </c>
      <c r="S450" t="n">
        <v>5</v>
      </c>
      <c r="T450" t="inlineStr"/>
    </row>
    <row r="451">
      <c r="A451" t="inlineStr">
        <is>
          <t>O0450</t>
        </is>
      </c>
      <c r="B451" s="2" t="n">
        <v>45951</v>
      </c>
      <c r="C451" t="inlineStr">
        <is>
          <t>West</t>
        </is>
      </c>
      <c r="D451" t="inlineStr">
        <is>
          <t>Texas</t>
        </is>
      </c>
      <c r="E451" t="inlineStr">
        <is>
          <t>John Smith</t>
        </is>
      </c>
      <c r="F451" t="inlineStr">
        <is>
          <t xml:space="preserve"> Neha  Joshi </t>
        </is>
      </c>
      <c r="G451" t="inlineStr">
        <is>
          <t>Laptop</t>
        </is>
      </c>
      <c r="H451" t="inlineStr">
        <is>
          <t>P104</t>
        </is>
      </c>
      <c r="I451" t="inlineStr">
        <is>
          <t>Inspiron 15</t>
        </is>
      </c>
      <c r="J451" t="n">
        <v>5</v>
      </c>
      <c r="K451" s="3" t="n">
        <v>749</v>
      </c>
      <c r="L451" s="4" t="n">
        <v>0.15</v>
      </c>
      <c r="M451" s="3" t="n">
        <v>3183.25</v>
      </c>
      <c r="N451" s="3" t="n">
        <v>750</v>
      </c>
      <c r="O451" s="2" t="n">
        <v>45953</v>
      </c>
      <c r="P451" s="2" t="n">
        <v>45957</v>
      </c>
      <c r="Q451" t="inlineStr">
        <is>
          <t>UPI</t>
        </is>
      </c>
      <c r="R451" t="inlineStr">
        <is>
          <t>New</t>
        </is>
      </c>
      <c r="S451" t="n">
        <v>2</v>
      </c>
      <c r="T451" t="inlineStr">
        <is>
          <t>NORMAL</t>
        </is>
      </c>
    </row>
    <row r="452">
      <c r="A452" t="inlineStr">
        <is>
          <t>O0451</t>
        </is>
      </c>
      <c r="B452" s="2" t="n">
        <v>46010</v>
      </c>
      <c r="C452" t="inlineStr">
        <is>
          <t>West</t>
        </is>
      </c>
      <c r="D452" t="inlineStr">
        <is>
          <t>California</t>
        </is>
      </c>
      <c r="E452" t="inlineStr">
        <is>
          <t>Priya Patel</t>
        </is>
      </c>
      <c r="F452" t="inlineStr">
        <is>
          <t>John Smith</t>
        </is>
      </c>
      <c r="G452" t="inlineStr">
        <is>
          <t>Tablet</t>
        </is>
      </c>
      <c r="H452" t="inlineStr">
        <is>
          <t>P105</t>
        </is>
      </c>
      <c r="I452" t="inlineStr">
        <is>
          <t>iPad Air</t>
        </is>
      </c>
      <c r="J452" t="n">
        <v>7</v>
      </c>
      <c r="K452" s="3" t="n">
        <v>599</v>
      </c>
      <c r="L452" s="4" t="n">
        <v>0.02</v>
      </c>
      <c r="M452" s="3" t="n">
        <v>4109.14</v>
      </c>
      <c r="N452" s="3" t="n">
        <v>2500</v>
      </c>
      <c r="O452" s="2" t="n">
        <v>46015</v>
      </c>
      <c r="P452" s="2" t="n">
        <v>46017</v>
      </c>
      <c r="Q452" t="inlineStr">
        <is>
          <t>Cash</t>
        </is>
      </c>
      <c r="R452" t="inlineStr">
        <is>
          <t>New</t>
        </is>
      </c>
      <c r="S452" t="n">
        <v>5</v>
      </c>
      <c r="T452" t="inlineStr">
        <is>
          <t>NORMAL</t>
        </is>
      </c>
    </row>
    <row r="453">
      <c r="A453" t="inlineStr">
        <is>
          <t>O0452</t>
        </is>
      </c>
      <c r="B453" s="2" t="n">
        <v>45732</v>
      </c>
      <c r="C453" t="inlineStr">
        <is>
          <t>East</t>
        </is>
      </c>
      <c r="D453" t="inlineStr">
        <is>
          <t>New York</t>
        </is>
      </c>
      <c r="E453" t="inlineStr">
        <is>
          <t>Neha Joshi</t>
        </is>
      </c>
      <c r="F453" t="inlineStr">
        <is>
          <t>PRIYA PATEL</t>
        </is>
      </c>
      <c r="G453" t="inlineStr">
        <is>
          <t>Tablet</t>
        </is>
      </c>
      <c r="H453" t="inlineStr">
        <is>
          <t>P106</t>
        </is>
      </c>
      <c r="I453" t="inlineStr">
        <is>
          <t>Galaxy Tab</t>
        </is>
      </c>
      <c r="J453" t="n">
        <v>6</v>
      </c>
      <c r="K453" s="3" t="n">
        <v>499</v>
      </c>
      <c r="L453" s="4" t="n">
        <v>0.1</v>
      </c>
      <c r="M453" s="3" t="n">
        <v>2694.6</v>
      </c>
      <c r="N453" s="3" t="n">
        <v>1000</v>
      </c>
      <c r="O453" s="2" t="n">
        <v>45733</v>
      </c>
      <c r="P453" s="2" t="n">
        <v>45740</v>
      </c>
      <c r="Q453" t="inlineStr">
        <is>
          <t>Cash</t>
        </is>
      </c>
      <c r="R453" t="inlineStr">
        <is>
          <t>New</t>
        </is>
      </c>
      <c r="S453" t="n">
        <v>2</v>
      </c>
      <c r="T453" t="inlineStr">
        <is>
          <t xml:space="preserve"> normal </t>
        </is>
      </c>
    </row>
    <row r="454">
      <c r="A454" t="inlineStr">
        <is>
          <t>O0453</t>
        </is>
      </c>
      <c r="B454" s="2" t="n">
        <v>45971</v>
      </c>
      <c r="C454" t="inlineStr">
        <is>
          <t>West</t>
        </is>
      </c>
      <c r="D454" t="inlineStr">
        <is>
          <t>California</t>
        </is>
      </c>
      <c r="E454" t="inlineStr">
        <is>
          <t>John Smith</t>
        </is>
      </c>
      <c r="F454" t="inlineStr">
        <is>
          <t>rAhUl shAh</t>
        </is>
      </c>
      <c r="G454" t="inlineStr">
        <is>
          <t>Mobile</t>
        </is>
      </c>
      <c r="H454" t="inlineStr">
        <is>
          <t>P101</t>
        </is>
      </c>
      <c r="I454" t="inlineStr">
        <is>
          <t>iPhone 15</t>
        </is>
      </c>
      <c r="J454" t="n">
        <v>10</v>
      </c>
      <c r="K454" s="3" t="n">
        <v>699</v>
      </c>
      <c r="L454" s="4" t="n">
        <v>0.15</v>
      </c>
      <c r="M454" s="3" t="n">
        <v>5941.5</v>
      </c>
      <c r="N454" s="3" t="n">
        <v>1500</v>
      </c>
      <c r="O454" s="2" t="n">
        <v>45976</v>
      </c>
      <c r="P454" s="2" t="n">
        <v>45979</v>
      </c>
      <c r="Q454" t="inlineStr">
        <is>
          <t>UPI</t>
        </is>
      </c>
      <c r="R454" t="inlineStr">
        <is>
          <t>New</t>
        </is>
      </c>
      <c r="S454" t="n">
        <v>1</v>
      </c>
      <c r="T454" t="inlineStr">
        <is>
          <t>ok</t>
        </is>
      </c>
    </row>
    <row r="455">
      <c r="A455" t="inlineStr">
        <is>
          <t>O0454</t>
        </is>
      </c>
      <c r="B455" s="2" t="n">
        <v>45726</v>
      </c>
      <c r="C455" t="inlineStr">
        <is>
          <t>East</t>
        </is>
      </c>
      <c r="D455" t="inlineStr">
        <is>
          <t>New Jersey</t>
        </is>
      </c>
      <c r="E455" t="inlineStr">
        <is>
          <t>Rahul Mehta</t>
        </is>
      </c>
      <c r="F455" t="inlineStr">
        <is>
          <t>Sara Khan</t>
        </is>
      </c>
      <c r="G455" t="inlineStr">
        <is>
          <t>Audio</t>
        </is>
      </c>
      <c r="H455" t="inlineStr">
        <is>
          <t>P108</t>
        </is>
      </c>
      <c r="I455" t="inlineStr">
        <is>
          <t>Buds Pro</t>
        </is>
      </c>
      <c r="J455" t="n">
        <v>10</v>
      </c>
      <c r="K455" s="3" t="n">
        <v>129</v>
      </c>
      <c r="L455" s="4" t="n">
        <v>0.1</v>
      </c>
      <c r="M455" s="3" t="n">
        <v>1161</v>
      </c>
      <c r="N455" s="3" t="n">
        <v>2500</v>
      </c>
      <c r="O455" s="2" t="n">
        <v>45731</v>
      </c>
      <c r="P455" s="2" t="n">
        <v>45738</v>
      </c>
      <c r="Q455" t="inlineStr">
        <is>
          <t>UPI</t>
        </is>
      </c>
      <c r="R455" t="inlineStr">
        <is>
          <t>Returning</t>
        </is>
      </c>
      <c r="S455" t="n">
        <v>4</v>
      </c>
      <c r="T455" t="inlineStr">
        <is>
          <t xml:space="preserve">  follow-up  </t>
        </is>
      </c>
    </row>
    <row r="456">
      <c r="A456" t="inlineStr">
        <is>
          <t>O0455</t>
        </is>
      </c>
      <c r="B456" s="2" t="n">
        <v>45773</v>
      </c>
      <c r="C456" t="inlineStr">
        <is>
          <t>West</t>
        </is>
      </c>
      <c r="D456" t="inlineStr">
        <is>
          <t>California</t>
        </is>
      </c>
      <c r="E456" t="inlineStr">
        <is>
          <t>Priya Patel</t>
        </is>
      </c>
      <c r="F456" t="inlineStr">
        <is>
          <t xml:space="preserve"> Neha  Joshi </t>
        </is>
      </c>
      <c r="G456" t="inlineStr">
        <is>
          <t>Laptop</t>
        </is>
      </c>
      <c r="H456" t="inlineStr">
        <is>
          <t>P104</t>
        </is>
      </c>
      <c r="I456" t="inlineStr">
        <is>
          <t>Inspiron 15</t>
        </is>
      </c>
      <c r="J456" t="n">
        <v>13</v>
      </c>
      <c r="K456" s="3" t="n">
        <v>749</v>
      </c>
      <c r="L456" s="4" t="n">
        <v>0</v>
      </c>
      <c r="M456" s="3" t="n">
        <v>9737</v>
      </c>
      <c r="N456" s="3" t="n">
        <v>750</v>
      </c>
      <c r="O456" s="2" t="n">
        <v>45774</v>
      </c>
      <c r="P456" s="2" t="n">
        <v>45778</v>
      </c>
      <c r="Q456" t="inlineStr">
        <is>
          <t>UPI</t>
        </is>
      </c>
      <c r="R456" t="inlineStr">
        <is>
          <t>New</t>
        </is>
      </c>
      <c r="S456" t="n">
        <v>1</v>
      </c>
      <c r="T456" t="inlineStr">
        <is>
          <t>urgent</t>
        </is>
      </c>
    </row>
    <row r="457">
      <c r="A457" t="inlineStr">
        <is>
          <t>O0456</t>
        </is>
      </c>
      <c r="B457" s="2" t="n">
        <v>46010</v>
      </c>
      <c r="C457" t="inlineStr">
        <is>
          <t>South</t>
        </is>
      </c>
      <c r="D457" t="inlineStr">
        <is>
          <t>Texas</t>
        </is>
      </c>
      <c r="E457" t="inlineStr">
        <is>
          <t>Amit Shah</t>
        </is>
      </c>
      <c r="F457" t="inlineStr">
        <is>
          <t xml:space="preserve"> Neha  Joshi </t>
        </is>
      </c>
      <c r="G457" t="inlineStr">
        <is>
          <t>Audio</t>
        </is>
      </c>
      <c r="H457" t="inlineStr">
        <is>
          <t>P108</t>
        </is>
      </c>
      <c r="I457" t="inlineStr">
        <is>
          <t>Buds Pro</t>
        </is>
      </c>
      <c r="J457" t="n">
        <v>8</v>
      </c>
      <c r="K457" s="3" t="n">
        <v>129</v>
      </c>
      <c r="L457" s="4" t="n">
        <v>0.02</v>
      </c>
      <c r="M457" s="3" t="n">
        <v>1011.36</v>
      </c>
      <c r="N457" s="3" t="n">
        <v>1000</v>
      </c>
      <c r="O457" s="2" t="n">
        <v>46013</v>
      </c>
      <c r="P457" s="2" t="n">
        <v>46020</v>
      </c>
      <c r="Q457" t="inlineStr">
        <is>
          <t>Bank Transfer</t>
        </is>
      </c>
      <c r="R457" t="inlineStr">
        <is>
          <t>Corporate</t>
        </is>
      </c>
      <c r="S457" t="n">
        <v>3</v>
      </c>
      <c r="T457" t="inlineStr">
        <is>
          <t xml:space="preserve">  follow-up  </t>
        </is>
      </c>
    </row>
    <row r="458">
      <c r="A458" t="inlineStr">
        <is>
          <t>O0457</t>
        </is>
      </c>
      <c r="B458" s="2" t="n">
        <v>45889</v>
      </c>
      <c r="C458" t="inlineStr">
        <is>
          <t>East</t>
        </is>
      </c>
      <c r="D458" t="inlineStr">
        <is>
          <t>New Jersey</t>
        </is>
      </c>
      <c r="E458" t="inlineStr">
        <is>
          <t>John Smith</t>
        </is>
      </c>
      <c r="F458" t="inlineStr">
        <is>
          <t>John Smith</t>
        </is>
      </c>
      <c r="G458" t="inlineStr">
        <is>
          <t>Mobile</t>
        </is>
      </c>
      <c r="H458" t="inlineStr">
        <is>
          <t>P102</t>
        </is>
      </c>
      <c r="I458" t="inlineStr">
        <is>
          <t>Galaxy S24</t>
        </is>
      </c>
      <c r="J458" t="n">
        <v>15</v>
      </c>
      <c r="K458" s="3" t="n">
        <v>799</v>
      </c>
      <c r="L458" s="4" t="n">
        <v>0</v>
      </c>
      <c r="M458" s="3" t="n">
        <v>11985</v>
      </c>
      <c r="N458" s="3" t="n">
        <v>500</v>
      </c>
      <c r="O458" s="2" t="n">
        <v>45893</v>
      </c>
      <c r="P458" s="2" t="n">
        <v>45900</v>
      </c>
      <c r="Q458" t="inlineStr">
        <is>
          <t>Bank Transfer</t>
        </is>
      </c>
      <c r="R458" t="inlineStr">
        <is>
          <t>Corporate</t>
        </is>
      </c>
      <c r="S458" t="n">
        <v>1</v>
      </c>
      <c r="T458" t="inlineStr">
        <is>
          <t>NORMAL</t>
        </is>
      </c>
    </row>
    <row r="459">
      <c r="A459" t="inlineStr">
        <is>
          <t>O0458</t>
        </is>
      </c>
      <c r="B459" s="2" t="n">
        <v>45683</v>
      </c>
      <c r="C459" t="inlineStr">
        <is>
          <t>South</t>
        </is>
      </c>
      <c r="D459" t="inlineStr">
        <is>
          <t>Texas</t>
        </is>
      </c>
      <c r="E459" t="inlineStr">
        <is>
          <t>Neha Joshi</t>
        </is>
      </c>
      <c r="F459" t="inlineStr">
        <is>
          <t>PRIYA PATEL</t>
        </is>
      </c>
      <c r="G459" t="inlineStr">
        <is>
          <t>Accessory</t>
        </is>
      </c>
      <c r="H459" t="inlineStr">
        <is>
          <t>P111</t>
        </is>
      </c>
      <c r="I459" t="inlineStr">
        <is>
          <t>Mouse</t>
        </is>
      </c>
      <c r="J459" t="n">
        <v>8</v>
      </c>
      <c r="K459" s="3" t="n">
        <v>39</v>
      </c>
      <c r="L459" s="4" t="n">
        <v>0.1</v>
      </c>
      <c r="M459" s="3" t="n">
        <v>280.8</v>
      </c>
      <c r="N459" s="3" t="n">
        <v>750</v>
      </c>
      <c r="O459" s="2" t="n">
        <v>45685</v>
      </c>
      <c r="P459" s="2" t="n">
        <v>45688</v>
      </c>
      <c r="Q459" t="inlineStr">
        <is>
          <t>UPI</t>
        </is>
      </c>
      <c r="R459" t="inlineStr">
        <is>
          <t>Returning</t>
        </is>
      </c>
      <c r="S459" t="n">
        <v>3</v>
      </c>
      <c r="T459" t="inlineStr">
        <is>
          <t>NORMAL</t>
        </is>
      </c>
    </row>
    <row r="460">
      <c r="A460" t="inlineStr">
        <is>
          <t>O0459</t>
        </is>
      </c>
      <c r="B460" s="2" t="n">
        <v>45730</v>
      </c>
      <c r="C460" t="inlineStr">
        <is>
          <t>East</t>
        </is>
      </c>
      <c r="D460" t="inlineStr">
        <is>
          <t>New Jersey</t>
        </is>
      </c>
      <c r="E460" t="inlineStr">
        <is>
          <t>John Smith</t>
        </is>
      </c>
      <c r="F460" t="inlineStr">
        <is>
          <t>Sara Khan</t>
        </is>
      </c>
      <c r="G460" t="inlineStr">
        <is>
          <t>Monitor</t>
        </is>
      </c>
      <c r="H460" t="inlineStr">
        <is>
          <t>P109</t>
        </is>
      </c>
      <c r="I460" t="inlineStr">
        <is>
          <t>Monitor 24</t>
        </is>
      </c>
      <c r="J460" t="n">
        <v>11</v>
      </c>
      <c r="K460" s="3" t="n">
        <v>229</v>
      </c>
      <c r="L460" s="4" t="n">
        <v>0.1</v>
      </c>
      <c r="M460" s="3" t="n">
        <v>2267.1</v>
      </c>
      <c r="N460" s="3" t="n">
        <v>300</v>
      </c>
      <c r="O460" s="2" t="n">
        <v>45734</v>
      </c>
      <c r="P460" s="2" t="n">
        <v>45741</v>
      </c>
      <c r="Q460" t="inlineStr">
        <is>
          <t>Credit Card</t>
        </is>
      </c>
      <c r="R460" t="inlineStr">
        <is>
          <t>New</t>
        </is>
      </c>
      <c r="S460" t="n">
        <v>5</v>
      </c>
      <c r="T460" t="inlineStr">
        <is>
          <t>refund pending</t>
        </is>
      </c>
    </row>
    <row r="461">
      <c r="A461" t="inlineStr">
        <is>
          <t>O0460</t>
        </is>
      </c>
      <c r="B461" s="2" t="n">
        <v>45823</v>
      </c>
      <c r="C461" t="inlineStr">
        <is>
          <t>West</t>
        </is>
      </c>
      <c r="D461" t="inlineStr">
        <is>
          <t>Texas</t>
        </is>
      </c>
      <c r="E461" t="inlineStr">
        <is>
          <t>Priya Patel</t>
        </is>
      </c>
      <c r="F461" t="inlineStr">
        <is>
          <t>Sara Khan</t>
        </is>
      </c>
      <c r="G461" t="inlineStr">
        <is>
          <t>Audio</t>
        </is>
      </c>
      <c r="H461" t="inlineStr">
        <is>
          <t>P107</t>
        </is>
      </c>
      <c r="I461" t="inlineStr">
        <is>
          <t>AirPods</t>
        </is>
      </c>
      <c r="J461" t="n">
        <v>3</v>
      </c>
      <c r="K461" s="3" t="n">
        <v>179</v>
      </c>
      <c r="L461" s="4" t="n">
        <v>0.1</v>
      </c>
      <c r="M461" s="3" t="n">
        <v>483.3</v>
      </c>
      <c r="N461" s="3" t="n">
        <v>1500</v>
      </c>
      <c r="O461" s="2" t="n">
        <v>45827</v>
      </c>
      <c r="P461" s="2" t="n">
        <v>45828</v>
      </c>
      <c r="Q461" t="inlineStr">
        <is>
          <t>Bank Transfer</t>
        </is>
      </c>
      <c r="R461" t="inlineStr">
        <is>
          <t>New</t>
        </is>
      </c>
      <c r="S461" t="n">
        <v>3</v>
      </c>
      <c r="T461" t="inlineStr">
        <is>
          <t>ok</t>
        </is>
      </c>
    </row>
    <row r="462">
      <c r="A462" t="inlineStr">
        <is>
          <t>O0461</t>
        </is>
      </c>
      <c r="B462" s="2" t="n">
        <v>45721</v>
      </c>
      <c r="C462" t="inlineStr">
        <is>
          <t>West</t>
        </is>
      </c>
      <c r="D462" t="inlineStr">
        <is>
          <t>Washington</t>
        </is>
      </c>
      <c r="E462" t="inlineStr">
        <is>
          <t>Amit Shah</t>
        </is>
      </c>
      <c r="F462" t="inlineStr">
        <is>
          <t>PRIYA PATEL</t>
        </is>
      </c>
      <c r="G462" t="inlineStr">
        <is>
          <t>Accessory</t>
        </is>
      </c>
      <c r="H462" t="inlineStr">
        <is>
          <t>P112</t>
        </is>
      </c>
      <c r="I462" t="inlineStr">
        <is>
          <t>PowerBank</t>
        </is>
      </c>
      <c r="J462" t="n">
        <v>12</v>
      </c>
      <c r="K462" s="3" t="n">
        <v>49</v>
      </c>
      <c r="L462" s="4" t="n">
        <v>0.1</v>
      </c>
      <c r="M462" s="3" t="n">
        <v>529.2</v>
      </c>
      <c r="N462" s="3" t="n">
        <v>2500</v>
      </c>
      <c r="O462" s="2" t="n">
        <v>45722</v>
      </c>
      <c r="P462" s="2" t="n">
        <v>45723</v>
      </c>
      <c r="Q462" t="inlineStr">
        <is>
          <t>Bank Transfer</t>
        </is>
      </c>
      <c r="R462" t="inlineStr">
        <is>
          <t>Corporate</t>
        </is>
      </c>
      <c r="S462" t="n">
        <v>5</v>
      </c>
      <c r="T462" t="inlineStr">
        <is>
          <t>NORMAL</t>
        </is>
      </c>
    </row>
    <row r="463">
      <c r="A463" t="inlineStr">
        <is>
          <t>O0462</t>
        </is>
      </c>
      <c r="B463" s="2" t="n">
        <v>45852</v>
      </c>
      <c r="C463" t="inlineStr">
        <is>
          <t>West</t>
        </is>
      </c>
      <c r="D463" t="inlineStr">
        <is>
          <t>Texas</t>
        </is>
      </c>
      <c r="E463" t="inlineStr">
        <is>
          <t>Priya Patel</t>
        </is>
      </c>
      <c r="F463" t="inlineStr">
        <is>
          <t>Sara Khan</t>
        </is>
      </c>
      <c r="G463" t="inlineStr">
        <is>
          <t>Monitor</t>
        </is>
      </c>
      <c r="H463" t="inlineStr">
        <is>
          <t>P109</t>
        </is>
      </c>
      <c r="I463" t="inlineStr">
        <is>
          <t>Monitor 24</t>
        </is>
      </c>
      <c r="J463" t="n">
        <v>3</v>
      </c>
      <c r="K463" s="3" t="n">
        <v>229</v>
      </c>
      <c r="L463" s="4" t="n">
        <v>0.05</v>
      </c>
      <c r="M463" s="3" t="n">
        <v>652.65</v>
      </c>
      <c r="N463" s="3" t="n">
        <v>1500</v>
      </c>
      <c r="O463" s="2" t="n">
        <v>45853</v>
      </c>
      <c r="P463" s="2" t="n">
        <v>45860</v>
      </c>
      <c r="Q463" t="inlineStr">
        <is>
          <t>UPI</t>
        </is>
      </c>
      <c r="R463" t="inlineStr">
        <is>
          <t>New</t>
        </is>
      </c>
      <c r="S463" t="n">
        <v>2</v>
      </c>
      <c r="T463" t="inlineStr"/>
    </row>
    <row r="464">
      <c r="A464" t="inlineStr">
        <is>
          <t>O0463</t>
        </is>
      </c>
      <c r="B464" s="2" t="n">
        <v>45816</v>
      </c>
      <c r="C464" t="inlineStr">
        <is>
          <t>East</t>
        </is>
      </c>
      <c r="D464" t="inlineStr">
        <is>
          <t>Massachusetts</t>
        </is>
      </c>
      <c r="E464" t="inlineStr">
        <is>
          <t>Priya Patel</t>
        </is>
      </c>
      <c r="F464" t="inlineStr">
        <is>
          <t>rAhUl shAh</t>
        </is>
      </c>
      <c r="G464" t="inlineStr">
        <is>
          <t>Tablet</t>
        </is>
      </c>
      <c r="H464" t="inlineStr">
        <is>
          <t>P105</t>
        </is>
      </c>
      <c r="I464" t="inlineStr">
        <is>
          <t>iPad Air</t>
        </is>
      </c>
      <c r="J464" t="n">
        <v>11</v>
      </c>
      <c r="K464" s="3" t="n">
        <v>599</v>
      </c>
      <c r="L464" s="4" t="n">
        <v>0.02</v>
      </c>
      <c r="M464" s="3" t="n">
        <v>6457.22</v>
      </c>
      <c r="N464" s="3" t="n">
        <v>300</v>
      </c>
      <c r="O464" s="2" t="n">
        <v>45820</v>
      </c>
      <c r="P464" s="2" t="n">
        <v>45823</v>
      </c>
      <c r="Q464" t="inlineStr">
        <is>
          <t>Credit Card</t>
        </is>
      </c>
      <c r="R464" t="inlineStr">
        <is>
          <t>Corporate</t>
        </is>
      </c>
      <c r="S464" t="n">
        <v>3</v>
      </c>
      <c r="T464" t="inlineStr">
        <is>
          <t xml:space="preserve"> normal </t>
        </is>
      </c>
    </row>
    <row r="465">
      <c r="A465" t="inlineStr">
        <is>
          <t>O0464</t>
        </is>
      </c>
      <c r="B465" s="2" t="n">
        <v>45936</v>
      </c>
      <c r="C465" t="inlineStr">
        <is>
          <t>South</t>
        </is>
      </c>
      <c r="D465" t="inlineStr">
        <is>
          <t>Georgia</t>
        </is>
      </c>
      <c r="E465" t="inlineStr">
        <is>
          <t>John Smith</t>
        </is>
      </c>
      <c r="F465" t="inlineStr">
        <is>
          <t>rAhUl shAh</t>
        </is>
      </c>
      <c r="G465" t="inlineStr">
        <is>
          <t>Audio</t>
        </is>
      </c>
      <c r="H465" t="inlineStr">
        <is>
          <t>P108</t>
        </is>
      </c>
      <c r="I465" t="inlineStr">
        <is>
          <t>Buds Pro</t>
        </is>
      </c>
      <c r="J465" t="n">
        <v>15</v>
      </c>
      <c r="K465" s="3" t="n">
        <v>129</v>
      </c>
      <c r="L465" s="4" t="n">
        <v>0.1</v>
      </c>
      <c r="M465" s="3" t="n">
        <v>1741.5</v>
      </c>
      <c r="N465" s="3" t="n">
        <v>500</v>
      </c>
      <c r="O465" s="2" t="n">
        <v>45937</v>
      </c>
      <c r="P465" s="2" t="n">
        <v>45942</v>
      </c>
      <c r="Q465" t="inlineStr">
        <is>
          <t>Bank Transfer</t>
        </is>
      </c>
      <c r="R465" t="inlineStr">
        <is>
          <t>Returning</t>
        </is>
      </c>
      <c r="S465" t="n">
        <v>4</v>
      </c>
      <c r="T465" t="inlineStr">
        <is>
          <t xml:space="preserve">  follow-up  </t>
        </is>
      </c>
    </row>
    <row r="466">
      <c r="A466" t="inlineStr">
        <is>
          <t>O0465</t>
        </is>
      </c>
      <c r="B466" s="2" t="n">
        <v>45661</v>
      </c>
      <c r="C466" t="inlineStr">
        <is>
          <t>East</t>
        </is>
      </c>
      <c r="D466" t="inlineStr">
        <is>
          <t>New Jersey</t>
        </is>
      </c>
      <c r="E466" t="inlineStr">
        <is>
          <t>Priya Patel</t>
        </is>
      </c>
      <c r="F466" t="inlineStr">
        <is>
          <t>John Smith</t>
        </is>
      </c>
      <c r="G466" t="inlineStr">
        <is>
          <t>Accessory</t>
        </is>
      </c>
      <c r="H466" t="inlineStr">
        <is>
          <t>P110</t>
        </is>
      </c>
      <c r="I466" t="inlineStr">
        <is>
          <t>Keyboard</t>
        </is>
      </c>
      <c r="J466" t="n">
        <v>5</v>
      </c>
      <c r="K466" s="3" t="n">
        <v>59</v>
      </c>
      <c r="L466" s="4" t="n">
        <v>0.15</v>
      </c>
      <c r="M466" s="3" t="n">
        <v>250.75</v>
      </c>
      <c r="N466" s="3" t="n">
        <v>2500</v>
      </c>
      <c r="O466" s="2" t="n">
        <v>45663</v>
      </c>
      <c r="P466" s="2" t="n">
        <v>45668</v>
      </c>
      <c r="Q466" t="inlineStr">
        <is>
          <t>Credit Card</t>
        </is>
      </c>
      <c r="R466" t="inlineStr">
        <is>
          <t>New</t>
        </is>
      </c>
      <c r="S466" t="n">
        <v>2</v>
      </c>
      <c r="T466" t="inlineStr">
        <is>
          <t xml:space="preserve"> normal </t>
        </is>
      </c>
    </row>
    <row r="467">
      <c r="A467" t="inlineStr">
        <is>
          <t>O0466</t>
        </is>
      </c>
      <c r="B467" s="2" t="n">
        <v>45674</v>
      </c>
      <c r="C467" t="inlineStr">
        <is>
          <t>North</t>
        </is>
      </c>
      <c r="D467" t="inlineStr">
        <is>
          <t>Illinois</t>
        </is>
      </c>
      <c r="E467" t="inlineStr">
        <is>
          <t>Amit Shah</t>
        </is>
      </c>
      <c r="F467" t="inlineStr">
        <is>
          <t xml:space="preserve"> Rahul Shah </t>
        </is>
      </c>
      <c r="G467" t="inlineStr">
        <is>
          <t>Laptop</t>
        </is>
      </c>
      <c r="H467" t="inlineStr">
        <is>
          <t>P103</t>
        </is>
      </c>
      <c r="I467" t="inlineStr">
        <is>
          <t>ThinkPad E14</t>
        </is>
      </c>
      <c r="J467" t="n">
        <v>10</v>
      </c>
      <c r="K467" s="3" t="n">
        <v>899</v>
      </c>
      <c r="L467" s="4" t="n">
        <v>0.05</v>
      </c>
      <c r="M467" s="3" t="n">
        <v>8540.5</v>
      </c>
      <c r="N467" s="3" t="n">
        <v>750</v>
      </c>
      <c r="O467" s="2" t="n">
        <v>45679</v>
      </c>
      <c r="P467" s="2" t="n">
        <v>45686</v>
      </c>
      <c r="Q467" t="inlineStr">
        <is>
          <t>Credit Card</t>
        </is>
      </c>
      <c r="R467" t="inlineStr">
        <is>
          <t>Returning</t>
        </is>
      </c>
      <c r="S467" t="n">
        <v>2</v>
      </c>
      <c r="T467" t="inlineStr">
        <is>
          <t>urgent</t>
        </is>
      </c>
    </row>
    <row r="468">
      <c r="A468" t="inlineStr">
        <is>
          <t>O0467</t>
        </is>
      </c>
      <c r="B468" s="2" t="n">
        <v>46012</v>
      </c>
      <c r="C468" t="inlineStr">
        <is>
          <t>North</t>
        </is>
      </c>
      <c r="D468" t="inlineStr">
        <is>
          <t>Minnesota</t>
        </is>
      </c>
      <c r="E468" t="inlineStr">
        <is>
          <t>Sara Khan</t>
        </is>
      </c>
      <c r="F468" t="inlineStr">
        <is>
          <t xml:space="preserve"> Neha  Joshi </t>
        </is>
      </c>
      <c r="G468" t="inlineStr">
        <is>
          <t>Accessory</t>
        </is>
      </c>
      <c r="H468" t="inlineStr">
        <is>
          <t>P111</t>
        </is>
      </c>
      <c r="I468" t="inlineStr">
        <is>
          <t>Mouse</t>
        </is>
      </c>
      <c r="J468" t="n">
        <v>13</v>
      </c>
      <c r="K468" s="3" t="n">
        <v>39</v>
      </c>
      <c r="L468" s="4" t="n">
        <v>0.15</v>
      </c>
      <c r="M468" s="3" t="n">
        <v>430.95</v>
      </c>
      <c r="N468" s="3" t="n">
        <v>500</v>
      </c>
      <c r="O468" s="2" t="n">
        <v>46017</v>
      </c>
      <c r="P468" s="2" t="n">
        <v>46022</v>
      </c>
      <c r="Q468" t="inlineStr">
        <is>
          <t>Cash</t>
        </is>
      </c>
      <c r="R468" t="inlineStr">
        <is>
          <t>New</t>
        </is>
      </c>
      <c r="S468" t="n">
        <v>1</v>
      </c>
      <c r="T468" t="inlineStr"/>
    </row>
    <row r="469">
      <c r="A469" t="inlineStr">
        <is>
          <t>O0468</t>
        </is>
      </c>
      <c r="B469" s="2" t="n">
        <v>45852</v>
      </c>
      <c r="C469" t="inlineStr">
        <is>
          <t>North</t>
        </is>
      </c>
      <c r="D469" t="inlineStr">
        <is>
          <t>Michigan</t>
        </is>
      </c>
      <c r="E469" t="inlineStr">
        <is>
          <t>Neha Joshi</t>
        </is>
      </c>
      <c r="F469" t="inlineStr">
        <is>
          <t>PRIYA PATEL</t>
        </is>
      </c>
      <c r="G469" t="inlineStr">
        <is>
          <t>Tablet</t>
        </is>
      </c>
      <c r="H469" t="inlineStr">
        <is>
          <t>P106</t>
        </is>
      </c>
      <c r="I469" t="inlineStr">
        <is>
          <t>Galaxy Tab</t>
        </is>
      </c>
      <c r="J469" t="n">
        <v>7</v>
      </c>
      <c r="K469" s="3" t="n">
        <v>499</v>
      </c>
      <c r="L469" s="4" t="n">
        <v>0.15</v>
      </c>
      <c r="M469" s="3" t="n">
        <v>2969.05</v>
      </c>
      <c r="N469" s="3" t="n">
        <v>300</v>
      </c>
      <c r="O469" s="2" t="n">
        <v>45853</v>
      </c>
      <c r="P469" s="2" t="n">
        <v>45860</v>
      </c>
      <c r="Q469" t="inlineStr">
        <is>
          <t>UPI</t>
        </is>
      </c>
      <c r="R469" t="inlineStr">
        <is>
          <t>New</t>
        </is>
      </c>
      <c r="S469" t="n">
        <v>3</v>
      </c>
      <c r="T469" t="inlineStr">
        <is>
          <t>ok</t>
        </is>
      </c>
    </row>
    <row r="470">
      <c r="A470" t="inlineStr">
        <is>
          <t>O0469</t>
        </is>
      </c>
      <c r="B470" s="2" t="n">
        <v>46014</v>
      </c>
      <c r="C470" t="inlineStr">
        <is>
          <t>South</t>
        </is>
      </c>
      <c r="D470" t="inlineStr">
        <is>
          <t>Texas</t>
        </is>
      </c>
      <c r="E470" t="inlineStr">
        <is>
          <t>Sara Khan</t>
        </is>
      </c>
      <c r="F470" t="inlineStr">
        <is>
          <t>Sara Khan</t>
        </is>
      </c>
      <c r="G470" t="inlineStr">
        <is>
          <t>Laptop</t>
        </is>
      </c>
      <c r="H470" t="inlineStr">
        <is>
          <t>P104</t>
        </is>
      </c>
      <c r="I470" t="inlineStr">
        <is>
          <t>Inspiron 15</t>
        </is>
      </c>
      <c r="J470" t="n">
        <v>1</v>
      </c>
      <c r="K470" s="3" t="n">
        <v>749</v>
      </c>
      <c r="L470" s="4" t="n">
        <v>0</v>
      </c>
      <c r="M470" s="3" t="n">
        <v>749</v>
      </c>
      <c r="N470" s="3" t="n">
        <v>1500</v>
      </c>
      <c r="O470" s="2" t="n">
        <v>46016</v>
      </c>
      <c r="P470" s="2" t="n">
        <v>46021</v>
      </c>
      <c r="Q470" t="inlineStr">
        <is>
          <t>Credit Card</t>
        </is>
      </c>
      <c r="R470" t="inlineStr">
        <is>
          <t>Returning</t>
        </is>
      </c>
      <c r="S470" t="n">
        <v>5</v>
      </c>
      <c r="T470" t="inlineStr"/>
    </row>
    <row r="471">
      <c r="A471" t="inlineStr">
        <is>
          <t>O0470</t>
        </is>
      </c>
      <c r="B471" s="2" t="n">
        <v>45820</v>
      </c>
      <c r="C471" t="inlineStr">
        <is>
          <t>North</t>
        </is>
      </c>
      <c r="D471" t="inlineStr">
        <is>
          <t>Michigan</t>
        </is>
      </c>
      <c r="E471" t="inlineStr">
        <is>
          <t>John Smith</t>
        </is>
      </c>
      <c r="F471" t="inlineStr">
        <is>
          <t>rAhUl shAh</t>
        </is>
      </c>
      <c r="G471" t="inlineStr">
        <is>
          <t>Accessory</t>
        </is>
      </c>
      <c r="H471" t="inlineStr">
        <is>
          <t>P110</t>
        </is>
      </c>
      <c r="I471" t="inlineStr">
        <is>
          <t>Keyboard</t>
        </is>
      </c>
      <c r="J471" t="n">
        <v>10</v>
      </c>
      <c r="K471" s="3" t="n">
        <v>59</v>
      </c>
      <c r="L471" s="4" t="n">
        <v>0.15</v>
      </c>
      <c r="M471" s="3" t="n">
        <v>501.5</v>
      </c>
      <c r="N471" s="3" t="n">
        <v>750</v>
      </c>
      <c r="O471" s="2" t="n">
        <v>45823</v>
      </c>
      <c r="P471" s="2" t="n">
        <v>45828</v>
      </c>
      <c r="Q471" t="inlineStr">
        <is>
          <t>Bank Transfer</t>
        </is>
      </c>
      <c r="R471" t="inlineStr">
        <is>
          <t>Corporate</t>
        </is>
      </c>
      <c r="S471" t="n">
        <v>4</v>
      </c>
      <c r="T471" t="inlineStr">
        <is>
          <t xml:space="preserve">  follow-up  </t>
        </is>
      </c>
    </row>
    <row r="472">
      <c r="A472" t="inlineStr">
        <is>
          <t>O0471</t>
        </is>
      </c>
      <c r="B472" s="2" t="n">
        <v>46020</v>
      </c>
      <c r="C472" t="inlineStr">
        <is>
          <t>West</t>
        </is>
      </c>
      <c r="D472" t="inlineStr">
        <is>
          <t>Washington</t>
        </is>
      </c>
      <c r="E472" t="inlineStr">
        <is>
          <t>Sara Khan</t>
        </is>
      </c>
      <c r="F472" t="inlineStr">
        <is>
          <t xml:space="preserve"> Neha  Joshi </t>
        </is>
      </c>
      <c r="G472" t="inlineStr">
        <is>
          <t>Laptop</t>
        </is>
      </c>
      <c r="H472" t="inlineStr">
        <is>
          <t>P104</t>
        </is>
      </c>
      <c r="I472" t="inlineStr">
        <is>
          <t>Inspiron 15</t>
        </is>
      </c>
      <c r="J472" t="n">
        <v>1</v>
      </c>
      <c r="K472" s="3" t="n">
        <v>749</v>
      </c>
      <c r="L472" s="4" t="n">
        <v>0</v>
      </c>
      <c r="M472" s="3" t="n">
        <v>749</v>
      </c>
      <c r="N472" s="3" t="n">
        <v>300</v>
      </c>
      <c r="O472" s="2" t="n">
        <v>46023</v>
      </c>
      <c r="P472" s="2" t="n">
        <v>46025</v>
      </c>
      <c r="Q472" t="inlineStr">
        <is>
          <t>Credit Card</t>
        </is>
      </c>
      <c r="R472" t="inlineStr">
        <is>
          <t>Corporate</t>
        </is>
      </c>
      <c r="S472" t="n">
        <v>2</v>
      </c>
      <c r="T472" t="inlineStr"/>
    </row>
    <row r="473">
      <c r="A473" t="inlineStr">
        <is>
          <t>O0472</t>
        </is>
      </c>
      <c r="B473" s="2" t="n">
        <v>45828</v>
      </c>
      <c r="C473" t="inlineStr">
        <is>
          <t>South</t>
        </is>
      </c>
      <c r="D473" t="inlineStr">
        <is>
          <t>Georgia</t>
        </is>
      </c>
      <c r="E473" t="inlineStr">
        <is>
          <t>Priya Patel</t>
        </is>
      </c>
      <c r="F473" t="inlineStr">
        <is>
          <t>Sara Khan</t>
        </is>
      </c>
      <c r="G473" t="inlineStr">
        <is>
          <t>Mobile</t>
        </is>
      </c>
      <c r="H473" t="inlineStr">
        <is>
          <t>P101</t>
        </is>
      </c>
      <c r="I473" t="inlineStr">
        <is>
          <t>iPhone 15</t>
        </is>
      </c>
      <c r="J473" t="n">
        <v>13</v>
      </c>
      <c r="K473" s="3" t="n">
        <v>699</v>
      </c>
      <c r="L473" s="4" t="n">
        <v>0.02</v>
      </c>
      <c r="M473" s="3" t="n">
        <v>8905.26</v>
      </c>
      <c r="N473" s="3" t="n">
        <v>300</v>
      </c>
      <c r="O473" s="2" t="n">
        <v>45831</v>
      </c>
      <c r="P473" s="2" t="n">
        <v>45836</v>
      </c>
      <c r="Q473" t="inlineStr">
        <is>
          <t>Cash</t>
        </is>
      </c>
      <c r="R473" t="inlineStr">
        <is>
          <t>Returning</t>
        </is>
      </c>
      <c r="S473" t="n">
        <v>1</v>
      </c>
      <c r="T473" t="inlineStr">
        <is>
          <t>ok</t>
        </is>
      </c>
    </row>
    <row r="474">
      <c r="A474" t="inlineStr">
        <is>
          <t>O0473</t>
        </is>
      </c>
      <c r="B474" s="2" t="n">
        <v>45823</v>
      </c>
      <c r="C474" t="inlineStr">
        <is>
          <t>North</t>
        </is>
      </c>
      <c r="D474" t="inlineStr">
        <is>
          <t>Minnesota</t>
        </is>
      </c>
      <c r="E474" t="inlineStr">
        <is>
          <t>Sara Khan</t>
        </is>
      </c>
      <c r="F474" t="inlineStr">
        <is>
          <t xml:space="preserve"> Neha  Joshi </t>
        </is>
      </c>
      <c r="G474" t="inlineStr">
        <is>
          <t>Monitor</t>
        </is>
      </c>
      <c r="H474" t="inlineStr">
        <is>
          <t>P109</t>
        </is>
      </c>
      <c r="I474" t="inlineStr">
        <is>
          <t>Monitor 24</t>
        </is>
      </c>
      <c r="J474" t="n">
        <v>11</v>
      </c>
      <c r="K474" s="3" t="n">
        <v>229</v>
      </c>
      <c r="L474" s="4" t="n">
        <v>0.05</v>
      </c>
      <c r="M474" s="3" t="n">
        <v>2393.05</v>
      </c>
      <c r="N474" s="3" t="n">
        <v>750</v>
      </c>
      <c r="O474" s="2" t="n">
        <v>45824</v>
      </c>
      <c r="P474" s="2" t="n">
        <v>45825</v>
      </c>
      <c r="Q474" t="inlineStr">
        <is>
          <t>Credit Card</t>
        </is>
      </c>
      <c r="R474" t="inlineStr">
        <is>
          <t>New</t>
        </is>
      </c>
      <c r="S474" t="n">
        <v>2</v>
      </c>
      <c r="T474" t="inlineStr">
        <is>
          <t>ok</t>
        </is>
      </c>
    </row>
    <row r="475">
      <c r="A475" t="inlineStr">
        <is>
          <t>O0474</t>
        </is>
      </c>
      <c r="B475" s="2" t="n">
        <v>45900</v>
      </c>
      <c r="C475" t="inlineStr">
        <is>
          <t>North</t>
        </is>
      </c>
      <c r="D475" t="inlineStr">
        <is>
          <t>Minnesota</t>
        </is>
      </c>
      <c r="E475" t="inlineStr">
        <is>
          <t>Neha Joshi</t>
        </is>
      </c>
      <c r="F475" t="inlineStr">
        <is>
          <t>Sara Khan</t>
        </is>
      </c>
      <c r="G475" t="inlineStr">
        <is>
          <t>Audio</t>
        </is>
      </c>
      <c r="H475" t="inlineStr">
        <is>
          <t>P108</t>
        </is>
      </c>
      <c r="I475" t="inlineStr">
        <is>
          <t>Buds Pro</t>
        </is>
      </c>
      <c r="J475" t="n">
        <v>3</v>
      </c>
      <c r="K475" s="3" t="n">
        <v>129</v>
      </c>
      <c r="L475" s="4" t="n">
        <v>0.1</v>
      </c>
      <c r="M475" s="3" t="n">
        <v>348.3</v>
      </c>
      <c r="N475" s="3" t="n">
        <v>500</v>
      </c>
      <c r="O475" s="2" t="n">
        <v>45901</v>
      </c>
      <c r="P475" s="2" t="n">
        <v>45907</v>
      </c>
      <c r="Q475" t="inlineStr">
        <is>
          <t>Cash</t>
        </is>
      </c>
      <c r="R475" t="inlineStr">
        <is>
          <t>Returning</t>
        </is>
      </c>
      <c r="S475" t="n">
        <v>4</v>
      </c>
      <c r="T475" t="inlineStr">
        <is>
          <t>refund pending</t>
        </is>
      </c>
    </row>
    <row r="476">
      <c r="A476" t="inlineStr">
        <is>
          <t>O0475</t>
        </is>
      </c>
      <c r="B476" s="2" t="n">
        <v>45947</v>
      </c>
      <c r="C476" t="inlineStr">
        <is>
          <t>East</t>
        </is>
      </c>
      <c r="D476" t="inlineStr">
        <is>
          <t>New Jersey</t>
        </is>
      </c>
      <c r="E476" t="inlineStr">
        <is>
          <t>Sara Khan</t>
        </is>
      </c>
      <c r="F476" t="inlineStr">
        <is>
          <t>John Smith</t>
        </is>
      </c>
      <c r="G476" t="inlineStr">
        <is>
          <t>Tablet</t>
        </is>
      </c>
      <c r="H476" t="inlineStr">
        <is>
          <t>P105</t>
        </is>
      </c>
      <c r="I476" t="inlineStr">
        <is>
          <t>iPad Air</t>
        </is>
      </c>
      <c r="J476" t="n">
        <v>9</v>
      </c>
      <c r="K476" s="3" t="n">
        <v>599</v>
      </c>
      <c r="L476" s="4" t="n">
        <v>0</v>
      </c>
      <c r="M476" s="3" t="n">
        <v>5391</v>
      </c>
      <c r="N476" s="3" t="n">
        <v>500</v>
      </c>
      <c r="O476" s="2" t="n">
        <v>45950</v>
      </c>
      <c r="P476" s="2" t="n">
        <v>45955</v>
      </c>
      <c r="Q476" t="inlineStr">
        <is>
          <t>Cash</t>
        </is>
      </c>
      <c r="R476" t="inlineStr">
        <is>
          <t>Returning</t>
        </is>
      </c>
      <c r="S476" t="n">
        <v>1</v>
      </c>
      <c r="T476" t="inlineStr">
        <is>
          <t>urgent</t>
        </is>
      </c>
    </row>
    <row r="477">
      <c r="A477" t="inlineStr">
        <is>
          <t>O0476</t>
        </is>
      </c>
      <c r="B477" s="2" t="n">
        <v>45850</v>
      </c>
      <c r="C477" t="inlineStr">
        <is>
          <t>North</t>
        </is>
      </c>
      <c r="D477" t="inlineStr">
        <is>
          <t>Illinois</t>
        </is>
      </c>
      <c r="E477" t="inlineStr">
        <is>
          <t>Priya Patel</t>
        </is>
      </c>
      <c r="F477" t="inlineStr">
        <is>
          <t xml:space="preserve"> Neha  Joshi </t>
        </is>
      </c>
      <c r="G477" t="inlineStr">
        <is>
          <t>Tablet</t>
        </is>
      </c>
      <c r="H477" t="inlineStr">
        <is>
          <t>P106</t>
        </is>
      </c>
      <c r="I477" t="inlineStr">
        <is>
          <t>Galaxy Tab</t>
        </is>
      </c>
      <c r="J477" t="n">
        <v>3</v>
      </c>
      <c r="K477" s="3" t="n">
        <v>499</v>
      </c>
      <c r="L477" s="4" t="n">
        <v>0.15</v>
      </c>
      <c r="M477" s="3" t="n">
        <v>1272.45</v>
      </c>
      <c r="N477" s="3" t="n">
        <v>1500</v>
      </c>
      <c r="O477" s="2" t="n">
        <v>45855</v>
      </c>
      <c r="P477" s="2" t="n">
        <v>45862</v>
      </c>
      <c r="Q477" t="inlineStr">
        <is>
          <t>Credit Card</t>
        </is>
      </c>
      <c r="R477" t="inlineStr">
        <is>
          <t>Returning</t>
        </is>
      </c>
      <c r="S477" t="n">
        <v>3</v>
      </c>
      <c r="T477" t="inlineStr">
        <is>
          <t>refund pending</t>
        </is>
      </c>
    </row>
    <row r="478">
      <c r="A478" t="inlineStr">
        <is>
          <t>O0477</t>
        </is>
      </c>
      <c r="B478" s="2" t="n">
        <v>45702</v>
      </c>
      <c r="C478" t="inlineStr">
        <is>
          <t>East</t>
        </is>
      </c>
      <c r="D478" t="inlineStr">
        <is>
          <t>Massachusetts</t>
        </is>
      </c>
      <c r="E478" t="inlineStr">
        <is>
          <t>Priya Patel</t>
        </is>
      </c>
      <c r="F478" t="inlineStr">
        <is>
          <t>PRIYA PATEL</t>
        </is>
      </c>
      <c r="G478" t="inlineStr">
        <is>
          <t>Audio</t>
        </is>
      </c>
      <c r="H478" t="inlineStr">
        <is>
          <t>P107</t>
        </is>
      </c>
      <c r="I478" t="inlineStr">
        <is>
          <t>AirPods</t>
        </is>
      </c>
      <c r="J478" t="n">
        <v>6</v>
      </c>
      <c r="K478" s="3" t="n">
        <v>179</v>
      </c>
      <c r="L478" s="4" t="n">
        <v>0.1</v>
      </c>
      <c r="M478" s="3" t="n">
        <v>966.6</v>
      </c>
      <c r="N478" s="3" t="n">
        <v>5000</v>
      </c>
      <c r="O478" s="2" t="n">
        <v>45706</v>
      </c>
      <c r="P478" s="2" t="n">
        <v>45708</v>
      </c>
      <c r="Q478" t="inlineStr">
        <is>
          <t>Cash</t>
        </is>
      </c>
      <c r="R478" t="inlineStr">
        <is>
          <t>New</t>
        </is>
      </c>
      <c r="S478" t="n">
        <v>1</v>
      </c>
      <c r="T478" t="inlineStr">
        <is>
          <t>ok</t>
        </is>
      </c>
    </row>
    <row r="479">
      <c r="A479" t="inlineStr">
        <is>
          <t>O0478</t>
        </is>
      </c>
      <c r="B479" s="2" t="n">
        <v>45885</v>
      </c>
      <c r="C479" t="inlineStr">
        <is>
          <t>East</t>
        </is>
      </c>
      <c r="D479" t="inlineStr">
        <is>
          <t>New York</t>
        </is>
      </c>
      <c r="E479" t="inlineStr">
        <is>
          <t>Priya Patel</t>
        </is>
      </c>
      <c r="F479" t="inlineStr">
        <is>
          <t>rAhUl shAh</t>
        </is>
      </c>
      <c r="G479" t="inlineStr">
        <is>
          <t>Mobile</t>
        </is>
      </c>
      <c r="H479" t="inlineStr">
        <is>
          <t>P102</t>
        </is>
      </c>
      <c r="I479" t="inlineStr">
        <is>
          <t>Galaxy S24</t>
        </is>
      </c>
      <c r="J479" t="n">
        <v>13</v>
      </c>
      <c r="K479" s="3" t="n">
        <v>799</v>
      </c>
      <c r="L479" s="4" t="n">
        <v>0.1</v>
      </c>
      <c r="M479" s="3" t="n">
        <v>9348.299999999999</v>
      </c>
      <c r="N479" s="3" t="n">
        <v>1500</v>
      </c>
      <c r="O479" s="2" t="n">
        <v>45890</v>
      </c>
      <c r="P479" s="2" t="n">
        <v>45891</v>
      </c>
      <c r="Q479" t="inlineStr">
        <is>
          <t>Cash</t>
        </is>
      </c>
      <c r="R479" t="inlineStr">
        <is>
          <t>Returning</t>
        </is>
      </c>
      <c r="S479" t="n">
        <v>5</v>
      </c>
      <c r="T479" t="inlineStr">
        <is>
          <t>ok</t>
        </is>
      </c>
    </row>
    <row r="480">
      <c r="A480" t="inlineStr">
        <is>
          <t>O0479</t>
        </is>
      </c>
      <c r="B480" s="2" t="n">
        <v>45922</v>
      </c>
      <c r="C480" t="inlineStr">
        <is>
          <t>North</t>
        </is>
      </c>
      <c r="D480" t="inlineStr">
        <is>
          <t>Illinois</t>
        </is>
      </c>
      <c r="E480" t="inlineStr">
        <is>
          <t>Sara Khan</t>
        </is>
      </c>
      <c r="F480" t="inlineStr">
        <is>
          <t xml:space="preserve"> Neha  Joshi </t>
        </is>
      </c>
      <c r="G480" t="inlineStr">
        <is>
          <t>Mobile</t>
        </is>
      </c>
      <c r="H480" t="inlineStr">
        <is>
          <t>P102</t>
        </is>
      </c>
      <c r="I480" t="inlineStr">
        <is>
          <t>Galaxy S24</t>
        </is>
      </c>
      <c r="J480" t="n">
        <v>12</v>
      </c>
      <c r="K480" s="3" t="n">
        <v>799</v>
      </c>
      <c r="L480" s="4" t="n">
        <v>0</v>
      </c>
      <c r="M480" s="3" t="n">
        <v>9588</v>
      </c>
      <c r="N480" s="3" t="n">
        <v>1000</v>
      </c>
      <c r="O480" s="2" t="n">
        <v>45924</v>
      </c>
      <c r="P480" s="2" t="n">
        <v>45926</v>
      </c>
      <c r="Q480" t="inlineStr">
        <is>
          <t>Credit Card</t>
        </is>
      </c>
      <c r="R480" t="inlineStr">
        <is>
          <t>New</t>
        </is>
      </c>
      <c r="S480" t="n">
        <v>3</v>
      </c>
      <c r="T480" t="inlineStr">
        <is>
          <t xml:space="preserve"> normal </t>
        </is>
      </c>
    </row>
    <row r="481">
      <c r="A481" t="inlineStr">
        <is>
          <t>O0480</t>
        </is>
      </c>
      <c r="B481" s="2" t="n">
        <v>45681</v>
      </c>
      <c r="C481" t="inlineStr">
        <is>
          <t>East</t>
        </is>
      </c>
      <c r="D481" t="inlineStr">
        <is>
          <t>Massachusetts</t>
        </is>
      </c>
      <c r="E481" t="inlineStr">
        <is>
          <t>Rahul Mehta</t>
        </is>
      </c>
      <c r="F481" t="inlineStr">
        <is>
          <t>John Smith</t>
        </is>
      </c>
      <c r="G481" t="inlineStr">
        <is>
          <t>Audio</t>
        </is>
      </c>
      <c r="H481" t="inlineStr">
        <is>
          <t>P108</t>
        </is>
      </c>
      <c r="I481" t="inlineStr">
        <is>
          <t>Buds Pro</t>
        </is>
      </c>
      <c r="J481" t="n">
        <v>13</v>
      </c>
      <c r="K481" s="3" t="n">
        <v>129</v>
      </c>
      <c r="L481" s="4" t="n">
        <v>0.05</v>
      </c>
      <c r="M481" s="3" t="n">
        <v>1593.15</v>
      </c>
      <c r="N481" s="3" t="n">
        <v>300</v>
      </c>
      <c r="O481" s="2" t="n">
        <v>45682</v>
      </c>
      <c r="P481" s="2" t="n">
        <v>45687</v>
      </c>
      <c r="Q481" t="inlineStr">
        <is>
          <t>UPI</t>
        </is>
      </c>
      <c r="R481" t="inlineStr">
        <is>
          <t>Returning</t>
        </is>
      </c>
      <c r="S481" t="n">
        <v>2</v>
      </c>
      <c r="T481" t="inlineStr">
        <is>
          <t>urgent</t>
        </is>
      </c>
    </row>
    <row r="482">
      <c r="A482" t="inlineStr">
        <is>
          <t>O0481</t>
        </is>
      </c>
      <c r="B482" s="2" t="n">
        <v>45821</v>
      </c>
      <c r="C482" t="inlineStr">
        <is>
          <t>North</t>
        </is>
      </c>
      <c r="D482" t="inlineStr">
        <is>
          <t>Michigan</t>
        </is>
      </c>
      <c r="E482" t="inlineStr">
        <is>
          <t>Rahul Mehta</t>
        </is>
      </c>
      <c r="F482" t="inlineStr">
        <is>
          <t xml:space="preserve">rAhUl shAh </t>
        </is>
      </c>
      <c r="G482" t="inlineStr">
        <is>
          <t>Monitor</t>
        </is>
      </c>
      <c r="H482" t="inlineStr">
        <is>
          <t>P109</t>
        </is>
      </c>
      <c r="I482" t="inlineStr">
        <is>
          <t>Monitor 24</t>
        </is>
      </c>
      <c r="J482" t="n">
        <v>2</v>
      </c>
      <c r="K482" s="3" t="n">
        <v>229</v>
      </c>
      <c r="L482" s="4" t="n">
        <v>0.05</v>
      </c>
      <c r="M482" s="3" t="n">
        <v>435.1</v>
      </c>
      <c r="N482" s="3" t="n">
        <v>500</v>
      </c>
      <c r="O482" s="2" t="n">
        <v>45825</v>
      </c>
      <c r="P482" s="2" t="n">
        <v>45831</v>
      </c>
      <c r="Q482" t="inlineStr">
        <is>
          <t>Credit Card</t>
        </is>
      </c>
      <c r="R482" t="inlineStr">
        <is>
          <t>New</t>
        </is>
      </c>
      <c r="S482" t="n">
        <v>5</v>
      </c>
      <c r="T482" t="inlineStr">
        <is>
          <t>NORMAL</t>
        </is>
      </c>
    </row>
    <row r="483">
      <c r="A483" t="inlineStr">
        <is>
          <t>O0482</t>
        </is>
      </c>
      <c r="B483" s="2" t="n">
        <v>45837</v>
      </c>
      <c r="C483" t="inlineStr">
        <is>
          <t>East</t>
        </is>
      </c>
      <c r="D483" t="inlineStr">
        <is>
          <t>New York</t>
        </is>
      </c>
      <c r="E483" t="inlineStr">
        <is>
          <t>John Smith</t>
        </is>
      </c>
      <c r="F483" t="inlineStr">
        <is>
          <t>PRIYA PATEL</t>
        </is>
      </c>
      <c r="G483" t="inlineStr">
        <is>
          <t>Monitor</t>
        </is>
      </c>
      <c r="H483" t="inlineStr">
        <is>
          <t>P109</t>
        </is>
      </c>
      <c r="I483" t="inlineStr">
        <is>
          <t>Monitor 24</t>
        </is>
      </c>
      <c r="J483" t="n">
        <v>5</v>
      </c>
      <c r="K483" s="3" t="n">
        <v>229</v>
      </c>
      <c r="L483" s="4" t="n">
        <v>0.02</v>
      </c>
      <c r="M483" s="3" t="n">
        <v>1122.1</v>
      </c>
      <c r="N483" s="3" t="n">
        <v>2500</v>
      </c>
      <c r="O483" s="2" t="n">
        <v>45842</v>
      </c>
      <c r="P483" s="2" t="n">
        <v>45845</v>
      </c>
      <c r="Q483" t="inlineStr">
        <is>
          <t>UPI</t>
        </is>
      </c>
      <c r="R483" t="inlineStr">
        <is>
          <t>New</t>
        </is>
      </c>
      <c r="S483" t="n">
        <v>1</v>
      </c>
      <c r="T483" t="inlineStr">
        <is>
          <t>ok</t>
        </is>
      </c>
    </row>
    <row r="484">
      <c r="A484" t="inlineStr">
        <is>
          <t>O0483</t>
        </is>
      </c>
      <c r="B484" s="2" t="n">
        <v>45683</v>
      </c>
      <c r="C484" t="inlineStr">
        <is>
          <t>North</t>
        </is>
      </c>
      <c r="D484" t="inlineStr">
        <is>
          <t>Minnesota</t>
        </is>
      </c>
      <c r="E484" t="inlineStr">
        <is>
          <t>Amit Shah</t>
        </is>
      </c>
      <c r="F484" t="inlineStr">
        <is>
          <t xml:space="preserve"> Neha  Joshi </t>
        </is>
      </c>
      <c r="G484" t="inlineStr">
        <is>
          <t>Audio</t>
        </is>
      </c>
      <c r="H484" t="inlineStr">
        <is>
          <t>P108</t>
        </is>
      </c>
      <c r="I484" t="inlineStr">
        <is>
          <t>Buds Pro</t>
        </is>
      </c>
      <c r="J484" t="n">
        <v>8</v>
      </c>
      <c r="K484" s="3" t="n">
        <v>129</v>
      </c>
      <c r="L484" s="4" t="n">
        <v>0</v>
      </c>
      <c r="M484" s="3" t="n">
        <v>1032</v>
      </c>
      <c r="N484" s="3" t="n">
        <v>300</v>
      </c>
      <c r="O484" s="2" t="n">
        <v>45685</v>
      </c>
      <c r="P484" s="2" t="n">
        <v>45686</v>
      </c>
      <c r="Q484" t="inlineStr">
        <is>
          <t>Credit Card</t>
        </is>
      </c>
      <c r="R484" t="inlineStr">
        <is>
          <t>Returning</t>
        </is>
      </c>
      <c r="S484" t="n">
        <v>4</v>
      </c>
      <c r="T484" t="inlineStr">
        <is>
          <t>urgent</t>
        </is>
      </c>
    </row>
    <row r="485">
      <c r="A485" t="inlineStr">
        <is>
          <t>O0484</t>
        </is>
      </c>
      <c r="B485" s="2" t="n">
        <v>45817</v>
      </c>
      <c r="C485" t="inlineStr">
        <is>
          <t>South</t>
        </is>
      </c>
      <c r="D485" t="inlineStr">
        <is>
          <t>Texas</t>
        </is>
      </c>
      <c r="E485" t="inlineStr">
        <is>
          <t>John Smith</t>
        </is>
      </c>
      <c r="F485" t="inlineStr">
        <is>
          <t xml:space="preserve"> Neha  Joshi </t>
        </is>
      </c>
      <c r="G485" t="inlineStr">
        <is>
          <t>Tablet</t>
        </is>
      </c>
      <c r="H485" t="inlineStr">
        <is>
          <t>P106</t>
        </is>
      </c>
      <c r="I485" t="inlineStr">
        <is>
          <t>Galaxy Tab</t>
        </is>
      </c>
      <c r="J485" t="n">
        <v>4</v>
      </c>
      <c r="K485" s="3" t="n">
        <v>499</v>
      </c>
      <c r="L485" s="4" t="n">
        <v>0.15</v>
      </c>
      <c r="M485" s="3" t="n">
        <v>1696.6</v>
      </c>
      <c r="N485" s="3" t="n">
        <v>300</v>
      </c>
      <c r="O485" s="2" t="n">
        <v>45820</v>
      </c>
      <c r="P485" s="2" t="n">
        <v>45827</v>
      </c>
      <c r="Q485" t="inlineStr">
        <is>
          <t>UPI</t>
        </is>
      </c>
      <c r="R485" t="inlineStr">
        <is>
          <t>New</t>
        </is>
      </c>
      <c r="S485" t="n">
        <v>4</v>
      </c>
      <c r="T485" t="inlineStr">
        <is>
          <t xml:space="preserve"> normal </t>
        </is>
      </c>
    </row>
    <row r="486">
      <c r="A486" t="inlineStr">
        <is>
          <t>O0485</t>
        </is>
      </c>
      <c r="B486" s="2" t="n">
        <v>45987</v>
      </c>
      <c r="C486" t="inlineStr">
        <is>
          <t>South</t>
        </is>
      </c>
      <c r="D486" t="inlineStr">
        <is>
          <t>Georgia</t>
        </is>
      </c>
      <c r="E486" t="inlineStr">
        <is>
          <t>Rahul Mehta</t>
        </is>
      </c>
      <c r="F486" t="inlineStr">
        <is>
          <t>John Smith</t>
        </is>
      </c>
      <c r="G486" t="inlineStr">
        <is>
          <t>Accessory</t>
        </is>
      </c>
      <c r="H486" t="inlineStr">
        <is>
          <t>P111</t>
        </is>
      </c>
      <c r="I486" t="inlineStr">
        <is>
          <t>Mouse</t>
        </is>
      </c>
      <c r="J486" t="n">
        <v>4</v>
      </c>
      <c r="K486" s="3" t="n">
        <v>39</v>
      </c>
      <c r="L486" s="4" t="n">
        <v>0.02</v>
      </c>
      <c r="M486" s="3" t="n">
        <v>152.88</v>
      </c>
      <c r="N486" s="3" t="n">
        <v>500</v>
      </c>
      <c r="O486" s="2" t="n">
        <v>45991</v>
      </c>
      <c r="P486" s="2" t="n">
        <v>45995</v>
      </c>
      <c r="Q486" t="inlineStr">
        <is>
          <t>Cash</t>
        </is>
      </c>
      <c r="R486" t="inlineStr">
        <is>
          <t>Returning</t>
        </is>
      </c>
      <c r="S486" t="n">
        <v>2</v>
      </c>
      <c r="T486" t="inlineStr">
        <is>
          <t>refund pending</t>
        </is>
      </c>
    </row>
    <row r="487">
      <c r="A487" t="inlineStr">
        <is>
          <t>O0486</t>
        </is>
      </c>
      <c r="B487" s="2" t="n">
        <v>45907</v>
      </c>
      <c r="C487" t="inlineStr">
        <is>
          <t>North</t>
        </is>
      </c>
      <c r="D487" t="inlineStr">
        <is>
          <t>Michigan</t>
        </is>
      </c>
      <c r="E487" t="inlineStr">
        <is>
          <t>Neha Joshi</t>
        </is>
      </c>
      <c r="F487" t="inlineStr">
        <is>
          <t xml:space="preserve"> Neha  Joshi </t>
        </is>
      </c>
      <c r="G487" t="inlineStr">
        <is>
          <t>Audio</t>
        </is>
      </c>
      <c r="H487" t="inlineStr">
        <is>
          <t>P108</t>
        </is>
      </c>
      <c r="I487" t="inlineStr">
        <is>
          <t>Buds Pro</t>
        </is>
      </c>
      <c r="J487" t="n">
        <v>8</v>
      </c>
      <c r="K487" s="3" t="n">
        <v>129</v>
      </c>
      <c r="L487" s="4" t="n">
        <v>0</v>
      </c>
      <c r="M487" s="3" t="n">
        <v>1032</v>
      </c>
      <c r="N487" s="3" t="n">
        <v>750</v>
      </c>
      <c r="O487" s="2" t="n">
        <v>45908</v>
      </c>
      <c r="P487" s="2" t="n">
        <v>45909</v>
      </c>
      <c r="Q487" t="inlineStr">
        <is>
          <t>UPI</t>
        </is>
      </c>
      <c r="R487" t="inlineStr">
        <is>
          <t>Returning</t>
        </is>
      </c>
      <c r="S487" t="n">
        <v>3</v>
      </c>
      <c r="T487" t="inlineStr">
        <is>
          <t>NORMAL</t>
        </is>
      </c>
    </row>
    <row r="488">
      <c r="A488" t="inlineStr">
        <is>
          <t>O0487</t>
        </is>
      </c>
      <c r="B488" s="2" t="n">
        <v>45865</v>
      </c>
      <c r="C488" t="inlineStr">
        <is>
          <t>West</t>
        </is>
      </c>
      <c r="D488" t="inlineStr">
        <is>
          <t>Washington</t>
        </is>
      </c>
      <c r="E488" t="inlineStr">
        <is>
          <t>John Smith</t>
        </is>
      </c>
      <c r="F488" t="inlineStr">
        <is>
          <t>PRIYA PATEL</t>
        </is>
      </c>
      <c r="G488" t="inlineStr">
        <is>
          <t>Mobile</t>
        </is>
      </c>
      <c r="H488" t="inlineStr">
        <is>
          <t>P102</t>
        </is>
      </c>
      <c r="I488" t="inlineStr">
        <is>
          <t>Galaxy S24</t>
        </is>
      </c>
      <c r="J488" t="n">
        <v>9</v>
      </c>
      <c r="K488" s="3" t="n">
        <v>799</v>
      </c>
      <c r="L488" s="4" t="n">
        <v>0</v>
      </c>
      <c r="M488" s="3" t="n">
        <v>7191</v>
      </c>
      <c r="N488" s="3" t="n">
        <v>5000</v>
      </c>
      <c r="O488" s="2" t="n">
        <v>45866</v>
      </c>
      <c r="P488" s="2" t="n">
        <v>45869</v>
      </c>
      <c r="Q488" t="inlineStr">
        <is>
          <t>Bank Transfer</t>
        </is>
      </c>
      <c r="R488" t="inlineStr">
        <is>
          <t>Returning</t>
        </is>
      </c>
      <c r="S488" t="n">
        <v>5</v>
      </c>
      <c r="T488" t="inlineStr">
        <is>
          <t xml:space="preserve">  follow-up  </t>
        </is>
      </c>
    </row>
    <row r="489">
      <c r="A489" t="inlineStr">
        <is>
          <t>O0488</t>
        </is>
      </c>
      <c r="B489" s="2" t="n">
        <v>45938</v>
      </c>
      <c r="C489" t="inlineStr">
        <is>
          <t>West</t>
        </is>
      </c>
      <c r="D489" t="inlineStr">
        <is>
          <t>Washington</t>
        </is>
      </c>
      <c r="E489" t="inlineStr">
        <is>
          <t>Sara Khan</t>
        </is>
      </c>
      <c r="F489" t="inlineStr">
        <is>
          <t>rAhUl shAh</t>
        </is>
      </c>
      <c r="G489" t="inlineStr">
        <is>
          <t>Laptop</t>
        </is>
      </c>
      <c r="H489" t="inlineStr">
        <is>
          <t>P104</t>
        </is>
      </c>
      <c r="I489" t="inlineStr">
        <is>
          <t>Inspiron 15</t>
        </is>
      </c>
      <c r="J489" t="n">
        <v>7</v>
      </c>
      <c r="K489" s="3" t="n">
        <v>749</v>
      </c>
      <c r="L489" s="4" t="n">
        <v>0</v>
      </c>
      <c r="M489" s="3" t="n">
        <v>5243</v>
      </c>
      <c r="N489" s="3" t="n">
        <v>750</v>
      </c>
      <c r="O489" s="2" t="n">
        <v>45940</v>
      </c>
      <c r="P489" s="2" t="n">
        <v>45944</v>
      </c>
      <c r="Q489" t="inlineStr">
        <is>
          <t>Bank Transfer</t>
        </is>
      </c>
      <c r="R489" t="inlineStr">
        <is>
          <t>Returning</t>
        </is>
      </c>
      <c r="S489" t="n">
        <v>5</v>
      </c>
      <c r="T489" t="inlineStr"/>
    </row>
    <row r="490">
      <c r="A490" t="inlineStr">
        <is>
          <t>O0489</t>
        </is>
      </c>
      <c r="B490" s="2" t="n">
        <v>45778</v>
      </c>
      <c r="C490" t="inlineStr">
        <is>
          <t>North</t>
        </is>
      </c>
      <c r="D490" t="inlineStr">
        <is>
          <t>Minnesota</t>
        </is>
      </c>
      <c r="E490" t="inlineStr">
        <is>
          <t>John Smith</t>
        </is>
      </c>
      <c r="F490" t="inlineStr">
        <is>
          <t>Sara Khan</t>
        </is>
      </c>
      <c r="G490" t="inlineStr">
        <is>
          <t>Accessory</t>
        </is>
      </c>
      <c r="H490" t="inlineStr">
        <is>
          <t>P112</t>
        </is>
      </c>
      <c r="I490" t="inlineStr">
        <is>
          <t>PowerBank</t>
        </is>
      </c>
      <c r="J490" t="n">
        <v>11</v>
      </c>
      <c r="K490" s="3" t="n">
        <v>49</v>
      </c>
      <c r="L490" s="4" t="n">
        <v>0</v>
      </c>
      <c r="M490" s="3" t="n">
        <v>539</v>
      </c>
      <c r="N490" s="3" t="n">
        <v>2500</v>
      </c>
      <c r="O490" s="2" t="n">
        <v>45780</v>
      </c>
      <c r="P490" s="2" t="n">
        <v>45786</v>
      </c>
      <c r="Q490" t="inlineStr">
        <is>
          <t>Bank Transfer</t>
        </is>
      </c>
      <c r="R490" t="inlineStr">
        <is>
          <t>New</t>
        </is>
      </c>
      <c r="S490" t="n">
        <v>5</v>
      </c>
      <c r="T490" t="inlineStr">
        <is>
          <t>NORMAL</t>
        </is>
      </c>
    </row>
    <row r="491">
      <c r="A491" t="inlineStr">
        <is>
          <t>O0490</t>
        </is>
      </c>
      <c r="B491" s="2" t="n">
        <v>45707</v>
      </c>
      <c r="C491" t="inlineStr">
        <is>
          <t>South</t>
        </is>
      </c>
      <c r="D491" t="inlineStr">
        <is>
          <t>Georgia</t>
        </is>
      </c>
      <c r="E491" t="inlineStr">
        <is>
          <t>Amit Shah</t>
        </is>
      </c>
      <c r="F491" t="inlineStr">
        <is>
          <t>John Smith</t>
        </is>
      </c>
      <c r="G491" t="inlineStr">
        <is>
          <t>Monitor</t>
        </is>
      </c>
      <c r="H491" t="inlineStr">
        <is>
          <t>P109</t>
        </is>
      </c>
      <c r="I491" t="inlineStr">
        <is>
          <t>Monitor 24</t>
        </is>
      </c>
      <c r="J491" t="n">
        <v>5</v>
      </c>
      <c r="K491" s="3" t="n">
        <v>229</v>
      </c>
      <c r="L491" s="4" t="n">
        <v>0.1</v>
      </c>
      <c r="M491" s="3" t="n">
        <v>1030.5</v>
      </c>
      <c r="N491" s="3" t="n">
        <v>300</v>
      </c>
      <c r="O491" s="2" t="n">
        <v>45711</v>
      </c>
      <c r="P491" s="2" t="n">
        <v>45713</v>
      </c>
      <c r="Q491" t="inlineStr">
        <is>
          <t>Bank Transfer</t>
        </is>
      </c>
      <c r="R491" t="inlineStr">
        <is>
          <t>Returning</t>
        </is>
      </c>
      <c r="S491" t="n">
        <v>4</v>
      </c>
      <c r="T491" t="inlineStr">
        <is>
          <t>refund pending</t>
        </is>
      </c>
    </row>
    <row r="492">
      <c r="A492" t="inlineStr">
        <is>
          <t>O0491</t>
        </is>
      </c>
      <c r="B492" s="2" t="n">
        <v>45729</v>
      </c>
      <c r="C492" t="inlineStr">
        <is>
          <t>East</t>
        </is>
      </c>
      <c r="D492" t="inlineStr">
        <is>
          <t>New York</t>
        </is>
      </c>
      <c r="E492" t="inlineStr">
        <is>
          <t>Sara Khan</t>
        </is>
      </c>
      <c r="F492" t="inlineStr">
        <is>
          <t>rAhUl shAh</t>
        </is>
      </c>
      <c r="G492" t="inlineStr">
        <is>
          <t>Laptop</t>
        </is>
      </c>
      <c r="H492" t="inlineStr">
        <is>
          <t>P104</t>
        </is>
      </c>
      <c r="I492" t="inlineStr">
        <is>
          <t>Inspiron 15</t>
        </is>
      </c>
      <c r="J492" t="n">
        <v>11</v>
      </c>
      <c r="K492" s="3" t="n">
        <v>749</v>
      </c>
      <c r="L492" s="4" t="n">
        <v>0</v>
      </c>
      <c r="M492" s="3" t="n">
        <v>8239</v>
      </c>
      <c r="N492" s="3" t="n">
        <v>5000</v>
      </c>
      <c r="O492" s="2" t="n">
        <v>45734</v>
      </c>
      <c r="P492" s="2" t="n">
        <v>45741</v>
      </c>
      <c r="Q492" t="inlineStr">
        <is>
          <t>UPI</t>
        </is>
      </c>
      <c r="R492" t="inlineStr">
        <is>
          <t>Returning</t>
        </is>
      </c>
      <c r="S492" t="n">
        <v>5</v>
      </c>
      <c r="T492" t="inlineStr">
        <is>
          <t>ok</t>
        </is>
      </c>
    </row>
    <row r="493">
      <c r="A493" t="inlineStr">
        <is>
          <t>O0492</t>
        </is>
      </c>
      <c r="B493" s="2" t="n">
        <v>45886</v>
      </c>
      <c r="C493" t="inlineStr">
        <is>
          <t>South</t>
        </is>
      </c>
      <c r="D493" t="inlineStr">
        <is>
          <t>Texas</t>
        </is>
      </c>
      <c r="E493" t="inlineStr">
        <is>
          <t>Sara Khan</t>
        </is>
      </c>
      <c r="F493" t="inlineStr">
        <is>
          <t>John Smith</t>
        </is>
      </c>
      <c r="G493" t="inlineStr">
        <is>
          <t>Accessory</t>
        </is>
      </c>
      <c r="H493" t="inlineStr">
        <is>
          <t>P110</t>
        </is>
      </c>
      <c r="I493" t="inlineStr">
        <is>
          <t>Keyboard</t>
        </is>
      </c>
      <c r="J493" t="n">
        <v>11</v>
      </c>
      <c r="K493" s="3" t="n">
        <v>59</v>
      </c>
      <c r="L493" s="4" t="n">
        <v>0.05</v>
      </c>
      <c r="M493" s="3" t="n">
        <v>616.55</v>
      </c>
      <c r="N493" s="3" t="n">
        <v>750</v>
      </c>
      <c r="O493" s="2" t="n">
        <v>45888</v>
      </c>
      <c r="P493" s="2" t="n">
        <v>45890</v>
      </c>
      <c r="Q493" t="inlineStr">
        <is>
          <t>Cash</t>
        </is>
      </c>
      <c r="R493" t="inlineStr">
        <is>
          <t>Returning</t>
        </is>
      </c>
      <c r="S493" t="n">
        <v>3</v>
      </c>
      <c r="T493" t="inlineStr">
        <is>
          <t xml:space="preserve"> normal </t>
        </is>
      </c>
    </row>
    <row r="494">
      <c r="A494" t="inlineStr">
        <is>
          <t>O0493</t>
        </is>
      </c>
      <c r="B494" s="2" t="n">
        <v>45864</v>
      </c>
      <c r="C494" t="inlineStr">
        <is>
          <t>East</t>
        </is>
      </c>
      <c r="D494" t="inlineStr">
        <is>
          <t>New Jersey</t>
        </is>
      </c>
      <c r="E494" t="inlineStr">
        <is>
          <t>Amit Shah</t>
        </is>
      </c>
      <c r="F494" t="inlineStr">
        <is>
          <t>John Smith</t>
        </is>
      </c>
      <c r="G494" t="inlineStr">
        <is>
          <t>Monitor</t>
        </is>
      </c>
      <c r="H494" t="inlineStr">
        <is>
          <t>P109</t>
        </is>
      </c>
      <c r="I494" t="inlineStr">
        <is>
          <t>Monitor 24</t>
        </is>
      </c>
      <c r="J494" t="n">
        <v>5</v>
      </c>
      <c r="K494" s="3" t="n">
        <v>229</v>
      </c>
      <c r="L494" s="4" t="n">
        <v>0</v>
      </c>
      <c r="M494" s="3" t="n">
        <v>1145</v>
      </c>
      <c r="N494" s="3" t="n">
        <v>750</v>
      </c>
      <c r="O494" s="2" t="n">
        <v>45866</v>
      </c>
      <c r="P494" s="2" t="n">
        <v>45873</v>
      </c>
      <c r="Q494" t="inlineStr">
        <is>
          <t>Credit Card</t>
        </is>
      </c>
      <c r="R494" t="inlineStr">
        <is>
          <t>Corporate</t>
        </is>
      </c>
      <c r="S494" t="n">
        <v>5</v>
      </c>
      <c r="T494" t="inlineStr"/>
    </row>
    <row r="495">
      <c r="A495" t="inlineStr">
        <is>
          <t>O0494</t>
        </is>
      </c>
      <c r="B495" s="2" t="n">
        <v>45673</v>
      </c>
      <c r="C495" t="inlineStr">
        <is>
          <t>North</t>
        </is>
      </c>
      <c r="D495" t="inlineStr">
        <is>
          <t>Illinois</t>
        </is>
      </c>
      <c r="E495" t="inlineStr">
        <is>
          <t>Rahul Mehta</t>
        </is>
      </c>
      <c r="F495" t="inlineStr">
        <is>
          <t>Sara Khan</t>
        </is>
      </c>
      <c r="G495" t="inlineStr">
        <is>
          <t>Tablet</t>
        </is>
      </c>
      <c r="H495" t="inlineStr">
        <is>
          <t>P105</t>
        </is>
      </c>
      <c r="I495" t="inlineStr">
        <is>
          <t>iPad Air</t>
        </is>
      </c>
      <c r="J495" t="n">
        <v>12</v>
      </c>
      <c r="K495" s="3" t="n">
        <v>599</v>
      </c>
      <c r="L495" s="4" t="n">
        <v>0.15</v>
      </c>
      <c r="M495" s="3" t="n">
        <v>6109.8</v>
      </c>
      <c r="N495" s="3" t="n">
        <v>1000</v>
      </c>
      <c r="O495" s="2" t="n">
        <v>45675</v>
      </c>
      <c r="P495" s="2" t="n">
        <v>45679</v>
      </c>
      <c r="Q495" t="inlineStr">
        <is>
          <t>Bank Transfer</t>
        </is>
      </c>
      <c r="R495" t="inlineStr">
        <is>
          <t>Returning</t>
        </is>
      </c>
      <c r="S495" t="n">
        <v>4</v>
      </c>
      <c r="T495" t="inlineStr">
        <is>
          <t xml:space="preserve">  follow-up  </t>
        </is>
      </c>
    </row>
    <row r="496">
      <c r="A496" t="inlineStr">
        <is>
          <t>O0495</t>
        </is>
      </c>
      <c r="B496" s="2" t="n">
        <v>45901</v>
      </c>
      <c r="C496" t="inlineStr">
        <is>
          <t>West</t>
        </is>
      </c>
      <c r="D496" t="inlineStr">
        <is>
          <t>Washington</t>
        </is>
      </c>
      <c r="E496" t="inlineStr">
        <is>
          <t>Neha Joshi</t>
        </is>
      </c>
      <c r="F496" t="inlineStr">
        <is>
          <t>PRIYA PATEL</t>
        </is>
      </c>
      <c r="G496" t="inlineStr">
        <is>
          <t>Laptop</t>
        </is>
      </c>
      <c r="H496" t="inlineStr">
        <is>
          <t>P103</t>
        </is>
      </c>
      <c r="I496" t="inlineStr">
        <is>
          <t>ThinkPad E14</t>
        </is>
      </c>
      <c r="J496" t="n">
        <v>9</v>
      </c>
      <c r="K496" s="3" t="n">
        <v>899</v>
      </c>
      <c r="L496" s="4" t="n">
        <v>0.1</v>
      </c>
      <c r="M496" s="3" t="n">
        <v>7281.9</v>
      </c>
      <c r="N496" s="3" t="n">
        <v>5000</v>
      </c>
      <c r="O496" s="2" t="n">
        <v>45903</v>
      </c>
      <c r="P496" s="2" t="n">
        <v>45905</v>
      </c>
      <c r="Q496" t="inlineStr">
        <is>
          <t>UPI</t>
        </is>
      </c>
      <c r="R496" t="inlineStr">
        <is>
          <t>Returning</t>
        </is>
      </c>
      <c r="S496" t="n">
        <v>2</v>
      </c>
      <c r="T496" t="inlineStr">
        <is>
          <t>urgent</t>
        </is>
      </c>
    </row>
    <row r="497">
      <c r="A497" t="inlineStr">
        <is>
          <t>O0496</t>
        </is>
      </c>
      <c r="B497" s="2" t="n">
        <v>45666</v>
      </c>
      <c r="C497" t="inlineStr">
        <is>
          <t>East</t>
        </is>
      </c>
      <c r="D497" t="inlineStr">
        <is>
          <t>New York</t>
        </is>
      </c>
      <c r="E497" t="inlineStr">
        <is>
          <t>Priya Patel</t>
        </is>
      </c>
      <c r="F497" t="inlineStr">
        <is>
          <t xml:space="preserve"> Neha  Joshi </t>
        </is>
      </c>
      <c r="G497" t="inlineStr">
        <is>
          <t>Accessory</t>
        </is>
      </c>
      <c r="H497" t="inlineStr">
        <is>
          <t>P111</t>
        </is>
      </c>
      <c r="I497" t="inlineStr">
        <is>
          <t>Mouse</t>
        </is>
      </c>
      <c r="J497" t="n">
        <v>15</v>
      </c>
      <c r="K497" s="3" t="n">
        <v>39</v>
      </c>
      <c r="L497" s="4" t="n">
        <v>0.1</v>
      </c>
      <c r="M497" s="3" t="n">
        <v>526.5</v>
      </c>
      <c r="N497" s="3" t="n">
        <v>2500</v>
      </c>
      <c r="O497" s="2" t="n">
        <v>45668</v>
      </c>
      <c r="P497" s="2" t="n">
        <v>45674</v>
      </c>
      <c r="Q497" t="inlineStr">
        <is>
          <t>Credit Card</t>
        </is>
      </c>
      <c r="R497" t="inlineStr">
        <is>
          <t>New</t>
        </is>
      </c>
      <c r="S497" t="n">
        <v>4</v>
      </c>
      <c r="T497" t="inlineStr"/>
    </row>
    <row r="498">
      <c r="A498" t="inlineStr">
        <is>
          <t>O0497</t>
        </is>
      </c>
      <c r="B498" s="2" t="n">
        <v>45875</v>
      </c>
      <c r="C498" t="inlineStr">
        <is>
          <t>South</t>
        </is>
      </c>
      <c r="D498" t="inlineStr">
        <is>
          <t>Texas</t>
        </is>
      </c>
      <c r="E498" t="inlineStr">
        <is>
          <t>Neha Joshi</t>
        </is>
      </c>
      <c r="F498" t="inlineStr">
        <is>
          <t>John Smith</t>
        </is>
      </c>
      <c r="G498" t="inlineStr">
        <is>
          <t>Accessory</t>
        </is>
      </c>
      <c r="H498" t="inlineStr">
        <is>
          <t>P110</t>
        </is>
      </c>
      <c r="I498" t="inlineStr">
        <is>
          <t>Keyboard</t>
        </is>
      </c>
      <c r="J498" t="n">
        <v>8</v>
      </c>
      <c r="K498" s="3" t="n">
        <v>59</v>
      </c>
      <c r="L498" s="4" t="n">
        <v>0.15</v>
      </c>
      <c r="M498" s="3" t="n">
        <v>401.2</v>
      </c>
      <c r="N498" s="3" t="n">
        <v>1000</v>
      </c>
      <c r="O498" s="2" t="n">
        <v>45880</v>
      </c>
      <c r="P498" s="2" t="n">
        <v>45882</v>
      </c>
      <c r="Q498" t="inlineStr">
        <is>
          <t>Bank Transfer</t>
        </is>
      </c>
      <c r="R498" t="inlineStr">
        <is>
          <t>Returning</t>
        </is>
      </c>
      <c r="S498" t="n">
        <v>2</v>
      </c>
      <c r="T498" t="inlineStr">
        <is>
          <t>urgent</t>
        </is>
      </c>
    </row>
    <row r="499">
      <c r="A499" t="inlineStr">
        <is>
          <t>O0498</t>
        </is>
      </c>
      <c r="B499" s="2" t="n">
        <v>45953</v>
      </c>
      <c r="C499" t="inlineStr">
        <is>
          <t>South</t>
        </is>
      </c>
      <c r="D499" t="inlineStr">
        <is>
          <t>Texas</t>
        </is>
      </c>
      <c r="E499" t="inlineStr">
        <is>
          <t>Rahul Mehta</t>
        </is>
      </c>
      <c r="F499" t="inlineStr">
        <is>
          <t>John Smith</t>
        </is>
      </c>
      <c r="G499" t="inlineStr">
        <is>
          <t>Mobile</t>
        </is>
      </c>
      <c r="H499" t="inlineStr">
        <is>
          <t>P101</t>
        </is>
      </c>
      <c r="I499" t="inlineStr">
        <is>
          <t>iPhone 15</t>
        </is>
      </c>
      <c r="J499" t="n">
        <v>12</v>
      </c>
      <c r="K499" s="3" t="n">
        <v>699</v>
      </c>
      <c r="L499" s="4" t="n">
        <v>0.02</v>
      </c>
      <c r="M499" s="3" t="n">
        <v>8220.24</v>
      </c>
      <c r="N499" s="3" t="n">
        <v>2500</v>
      </c>
      <c r="O499" s="2" t="n">
        <v>45957</v>
      </c>
      <c r="P499" s="2" t="n">
        <v>45964</v>
      </c>
      <c r="Q499" t="inlineStr">
        <is>
          <t>Bank Transfer</t>
        </is>
      </c>
      <c r="R499" t="inlineStr">
        <is>
          <t>Corporate</t>
        </is>
      </c>
      <c r="S499" t="n">
        <v>5</v>
      </c>
      <c r="T499" t="inlineStr">
        <is>
          <t>ok</t>
        </is>
      </c>
    </row>
    <row r="500">
      <c r="A500" t="inlineStr">
        <is>
          <t>O0499</t>
        </is>
      </c>
      <c r="B500" s="2" t="n">
        <v>45905</v>
      </c>
      <c r="C500" t="inlineStr">
        <is>
          <t>East</t>
        </is>
      </c>
      <c r="D500" t="inlineStr">
        <is>
          <t>New York</t>
        </is>
      </c>
      <c r="E500" t="inlineStr">
        <is>
          <t>Priya Patel</t>
        </is>
      </c>
      <c r="F500" t="inlineStr">
        <is>
          <t xml:space="preserve"> Rahul Shah </t>
        </is>
      </c>
      <c r="G500" t="inlineStr">
        <is>
          <t>Accessory</t>
        </is>
      </c>
      <c r="H500" t="inlineStr">
        <is>
          <t>P110</t>
        </is>
      </c>
      <c r="I500" t="inlineStr">
        <is>
          <t>Keyboard</t>
        </is>
      </c>
      <c r="J500" t="n">
        <v>10</v>
      </c>
      <c r="K500" s="3" t="n">
        <v>59</v>
      </c>
      <c r="L500" s="4" t="n">
        <v>0.1</v>
      </c>
      <c r="M500" s="3" t="n">
        <v>531</v>
      </c>
      <c r="N500" s="3" t="n">
        <v>2500</v>
      </c>
      <c r="O500" s="2" t="n">
        <v>45908</v>
      </c>
      <c r="P500" s="2" t="n">
        <v>45909</v>
      </c>
      <c r="Q500" t="inlineStr">
        <is>
          <t>Cash</t>
        </is>
      </c>
      <c r="R500" t="inlineStr">
        <is>
          <t>Returning</t>
        </is>
      </c>
      <c r="S500" t="n">
        <v>5</v>
      </c>
      <c r="T500" t="inlineStr">
        <is>
          <t xml:space="preserve"> normal </t>
        </is>
      </c>
    </row>
    <row r="501">
      <c r="A501" t="inlineStr">
        <is>
          <t>O0500</t>
        </is>
      </c>
      <c r="B501" s="2" t="n">
        <v>45980</v>
      </c>
      <c r="C501" t="inlineStr">
        <is>
          <t>East</t>
        </is>
      </c>
      <c r="D501" t="inlineStr">
        <is>
          <t>New York</t>
        </is>
      </c>
      <c r="E501" t="inlineStr">
        <is>
          <t>Rahul Mehta</t>
        </is>
      </c>
      <c r="F501" t="inlineStr">
        <is>
          <t>John Smith</t>
        </is>
      </c>
      <c r="G501" t="inlineStr">
        <is>
          <t>Audio</t>
        </is>
      </c>
      <c r="H501" t="inlineStr">
        <is>
          <t>P108</t>
        </is>
      </c>
      <c r="I501" t="inlineStr">
        <is>
          <t>Buds Pro</t>
        </is>
      </c>
      <c r="J501" t="n">
        <v>11</v>
      </c>
      <c r="K501" s="3" t="n">
        <v>129</v>
      </c>
      <c r="L501" s="4" t="n">
        <v>0.15</v>
      </c>
      <c r="M501" s="3" t="n">
        <v>1206.15</v>
      </c>
      <c r="N501" s="3" t="n">
        <v>5000</v>
      </c>
      <c r="O501" s="2" t="n">
        <v>45981</v>
      </c>
      <c r="P501" s="2" t="n">
        <v>45987</v>
      </c>
      <c r="Q501" t="inlineStr">
        <is>
          <t>Credit Card</t>
        </is>
      </c>
      <c r="R501" t="inlineStr">
        <is>
          <t>Returning</t>
        </is>
      </c>
      <c r="S501" t="n">
        <v>5</v>
      </c>
      <c r="T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UnitPrice</t>
        </is>
      </c>
      <c r="F1" s="1" t="inlineStr">
        <is>
          <t>Supplier</t>
        </is>
      </c>
    </row>
    <row r="2">
      <c r="A2" t="inlineStr">
        <is>
          <t>P101</t>
        </is>
      </c>
      <c r="B2" t="inlineStr">
        <is>
          <t>iPhone 15</t>
        </is>
      </c>
      <c r="C2" t="inlineStr">
        <is>
          <t>Mobile</t>
        </is>
      </c>
      <c r="D2" t="inlineStr">
        <is>
          <t>Apple</t>
        </is>
      </c>
      <c r="E2" t="n">
        <v>699</v>
      </c>
      <c r="F2" t="inlineStr">
        <is>
          <t>TechWorld</t>
        </is>
      </c>
    </row>
    <row r="3">
      <c r="A3" t="inlineStr">
        <is>
          <t>P102</t>
        </is>
      </c>
      <c r="B3" t="inlineStr">
        <is>
          <t>Galaxy S24</t>
        </is>
      </c>
      <c r="C3" t="inlineStr">
        <is>
          <t>Mobile</t>
        </is>
      </c>
      <c r="D3" t="inlineStr">
        <is>
          <t>Samsung</t>
        </is>
      </c>
      <c r="E3" t="n">
        <v>799</v>
      </c>
      <c r="F3" t="inlineStr">
        <is>
          <t>Smart Supply</t>
        </is>
      </c>
    </row>
    <row r="4">
      <c r="A4" t="inlineStr">
        <is>
          <t>P103</t>
        </is>
      </c>
      <c r="B4" t="inlineStr">
        <is>
          <t>ThinkPad E14</t>
        </is>
      </c>
      <c r="C4" t="inlineStr">
        <is>
          <t>Laptop</t>
        </is>
      </c>
      <c r="D4" t="inlineStr">
        <is>
          <t>Lenovo</t>
        </is>
      </c>
      <c r="E4" t="n">
        <v>899</v>
      </c>
      <c r="F4" t="inlineStr">
        <is>
          <t>Smart Supply</t>
        </is>
      </c>
    </row>
    <row r="5">
      <c r="A5" t="inlineStr">
        <is>
          <t>P104</t>
        </is>
      </c>
      <c r="B5" t="inlineStr">
        <is>
          <t>Inspiron 15</t>
        </is>
      </c>
      <c r="C5" t="inlineStr">
        <is>
          <t>Laptop</t>
        </is>
      </c>
      <c r="D5" t="inlineStr">
        <is>
          <t>Dell</t>
        </is>
      </c>
      <c r="E5" t="n">
        <v>749</v>
      </c>
      <c r="F5" t="inlineStr">
        <is>
          <t>Smart Supply</t>
        </is>
      </c>
    </row>
    <row r="6">
      <c r="A6" t="inlineStr">
        <is>
          <t>P105</t>
        </is>
      </c>
      <c r="B6" t="inlineStr">
        <is>
          <t>iPad Air</t>
        </is>
      </c>
      <c r="C6" t="inlineStr">
        <is>
          <t>Tablet</t>
        </is>
      </c>
      <c r="D6" t="inlineStr">
        <is>
          <t>Apple</t>
        </is>
      </c>
      <c r="E6" t="n">
        <v>599</v>
      </c>
      <c r="F6" t="inlineStr">
        <is>
          <t>Global Electronics</t>
        </is>
      </c>
    </row>
    <row r="7">
      <c r="A7" t="inlineStr">
        <is>
          <t>P106</t>
        </is>
      </c>
      <c r="B7" t="inlineStr">
        <is>
          <t>Galaxy Tab</t>
        </is>
      </c>
      <c r="C7" t="inlineStr">
        <is>
          <t>Tablet</t>
        </is>
      </c>
      <c r="D7" t="inlineStr">
        <is>
          <t>Samsung</t>
        </is>
      </c>
      <c r="E7" t="n">
        <v>499</v>
      </c>
      <c r="F7" t="inlineStr">
        <is>
          <t>Smart Supply</t>
        </is>
      </c>
    </row>
    <row r="8">
      <c r="A8" t="inlineStr">
        <is>
          <t>P107</t>
        </is>
      </c>
      <c r="B8" t="inlineStr">
        <is>
          <t>AirPods</t>
        </is>
      </c>
      <c r="C8" t="inlineStr">
        <is>
          <t>Audio</t>
        </is>
      </c>
      <c r="D8" t="inlineStr">
        <is>
          <t>Apple</t>
        </is>
      </c>
      <c r="E8" t="n">
        <v>179</v>
      </c>
      <c r="F8" t="inlineStr">
        <is>
          <t>Global Electronics</t>
        </is>
      </c>
    </row>
    <row r="9">
      <c r="A9" t="inlineStr">
        <is>
          <t>P108</t>
        </is>
      </c>
      <c r="B9" t="inlineStr">
        <is>
          <t>Buds Pro</t>
        </is>
      </c>
      <c r="C9" t="inlineStr">
        <is>
          <t>Audio</t>
        </is>
      </c>
      <c r="D9" t="inlineStr">
        <is>
          <t>Samsung</t>
        </is>
      </c>
      <c r="E9" t="n">
        <v>129</v>
      </c>
      <c r="F9" t="inlineStr">
        <is>
          <t>Global Electronics</t>
        </is>
      </c>
    </row>
    <row r="10">
      <c r="A10" t="inlineStr">
        <is>
          <t>P109</t>
        </is>
      </c>
      <c r="B10" t="inlineStr">
        <is>
          <t>Monitor 24</t>
        </is>
      </c>
      <c r="C10" t="inlineStr">
        <is>
          <t>Monitor</t>
        </is>
      </c>
      <c r="D10" t="inlineStr">
        <is>
          <t>Dell</t>
        </is>
      </c>
      <c r="E10" t="n">
        <v>229</v>
      </c>
      <c r="F10" t="inlineStr">
        <is>
          <t>Global Electronics</t>
        </is>
      </c>
    </row>
    <row r="11">
      <c r="A11" t="inlineStr">
        <is>
          <t>P110</t>
        </is>
      </c>
      <c r="B11" t="inlineStr">
        <is>
          <t>Keyboard</t>
        </is>
      </c>
      <c r="C11" t="inlineStr">
        <is>
          <t>Accessory</t>
        </is>
      </c>
      <c r="D11" t="inlineStr">
        <is>
          <t>Logitech</t>
        </is>
      </c>
      <c r="E11" t="n">
        <v>59</v>
      </c>
      <c r="F11" t="inlineStr">
        <is>
          <t>DigitalHub</t>
        </is>
      </c>
    </row>
    <row r="12">
      <c r="A12" t="inlineStr">
        <is>
          <t>P111</t>
        </is>
      </c>
      <c r="B12" t="inlineStr">
        <is>
          <t>Mouse</t>
        </is>
      </c>
      <c r="C12" t="inlineStr">
        <is>
          <t>Accessory</t>
        </is>
      </c>
      <c r="D12" t="inlineStr">
        <is>
          <t>Logitech</t>
        </is>
      </c>
      <c r="E12" t="n">
        <v>39</v>
      </c>
      <c r="F12" t="inlineStr">
        <is>
          <t>TechWorld</t>
        </is>
      </c>
    </row>
    <row r="13">
      <c r="A13" t="inlineStr">
        <is>
          <t>P112</t>
        </is>
      </c>
      <c r="B13" t="inlineStr">
        <is>
          <t>PowerBank</t>
        </is>
      </c>
      <c r="C13" t="inlineStr">
        <is>
          <t>Accessory</t>
        </is>
      </c>
      <c r="D13" t="inlineStr">
        <is>
          <t>Anker</t>
        </is>
      </c>
      <c r="E13" t="n">
        <v>49</v>
      </c>
      <c r="F13" t="inlineStr">
        <is>
          <t>Global Electronics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Region</t>
        </is>
      </c>
      <c r="D1" s="1" t="inlineStr">
        <is>
          <t>HireDate</t>
        </is>
      </c>
      <c r="E1" s="1" t="inlineStr">
        <is>
          <t>Department</t>
        </is>
      </c>
      <c r="F1" s="1" t="inlineStr">
        <is>
          <t>BaseSalary</t>
        </is>
      </c>
    </row>
    <row r="2">
      <c r="A2" t="inlineStr">
        <is>
          <t>E001</t>
        </is>
      </c>
      <c r="B2" t="inlineStr">
        <is>
          <t>Amit Shah</t>
        </is>
      </c>
      <c r="C2" t="inlineStr">
        <is>
          <t>North</t>
        </is>
      </c>
      <c r="D2" s="2" t="n">
        <v>45307</v>
      </c>
      <c r="E2" t="inlineStr">
        <is>
          <t>Operations</t>
        </is>
      </c>
      <c r="F2" t="n">
        <v>58000</v>
      </c>
    </row>
    <row r="3">
      <c r="A3" t="inlineStr">
        <is>
          <t>E002</t>
        </is>
      </c>
      <c r="B3" t="inlineStr">
        <is>
          <t>Priya Patel</t>
        </is>
      </c>
      <c r="C3" t="inlineStr">
        <is>
          <t>West</t>
        </is>
      </c>
      <c r="D3" s="2" t="n">
        <v>43212</v>
      </c>
      <c r="E3" t="inlineStr">
        <is>
          <t>Sales</t>
        </is>
      </c>
      <c r="F3" t="n">
        <v>50000</v>
      </c>
    </row>
    <row r="4">
      <c r="A4" t="inlineStr">
        <is>
          <t>E003</t>
        </is>
      </c>
      <c r="B4" t="inlineStr">
        <is>
          <t>Rahul Mehta</t>
        </is>
      </c>
      <c r="C4" t="inlineStr">
        <is>
          <t>East</t>
        </is>
      </c>
      <c r="D4" s="2" t="n">
        <v>44384</v>
      </c>
      <c r="E4" t="inlineStr">
        <is>
          <t>Support</t>
        </is>
      </c>
      <c r="F4" t="n">
        <v>35000</v>
      </c>
    </row>
    <row r="5">
      <c r="A5" t="inlineStr">
        <is>
          <t>E004</t>
        </is>
      </c>
      <c r="B5" t="inlineStr">
        <is>
          <t>Neha Joshi</t>
        </is>
      </c>
      <c r="C5" t="inlineStr">
        <is>
          <t>West</t>
        </is>
      </c>
      <c r="D5" s="2" t="n">
        <v>43488</v>
      </c>
      <c r="E5" t="inlineStr">
        <is>
          <t>Sales</t>
        </is>
      </c>
      <c r="F5" t="n">
        <v>50000</v>
      </c>
    </row>
    <row r="6">
      <c r="A6" t="inlineStr">
        <is>
          <t>E005</t>
        </is>
      </c>
      <c r="B6" t="inlineStr">
        <is>
          <t>John Smith</t>
        </is>
      </c>
      <c r="C6" t="inlineStr">
        <is>
          <t>North</t>
        </is>
      </c>
      <c r="D6" s="2" t="n">
        <v>45016</v>
      </c>
      <c r="E6" t="inlineStr">
        <is>
          <t>Operations</t>
        </is>
      </c>
      <c r="F6" t="n">
        <v>50000</v>
      </c>
    </row>
    <row r="7">
      <c r="A7" t="inlineStr">
        <is>
          <t>E006</t>
        </is>
      </c>
      <c r="B7" t="inlineStr">
        <is>
          <t>Sara Khan</t>
        </is>
      </c>
      <c r="C7" t="inlineStr">
        <is>
          <t>North</t>
        </is>
      </c>
      <c r="D7" s="2" t="n">
        <v>44506</v>
      </c>
      <c r="E7" t="inlineStr">
        <is>
          <t>Sales</t>
        </is>
      </c>
      <c r="F7" t="n">
        <v>35000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Target</t>
        </is>
      </c>
    </row>
    <row r="2">
      <c r="A2" s="2" t="n">
        <v>45658</v>
      </c>
      <c r="B2" t="inlineStr">
        <is>
          <t>East</t>
        </is>
      </c>
      <c r="C2" t="n">
        <v>34786</v>
      </c>
    </row>
    <row r="3">
      <c r="A3" s="2" t="n">
        <v>45658</v>
      </c>
      <c r="B3" t="inlineStr">
        <is>
          <t>West</t>
        </is>
      </c>
      <c r="C3" t="n">
        <v>20721</v>
      </c>
    </row>
    <row r="4">
      <c r="A4" s="2" t="n">
        <v>45658</v>
      </c>
      <c r="B4" t="inlineStr">
        <is>
          <t>North</t>
        </is>
      </c>
      <c r="C4" t="n">
        <v>34391</v>
      </c>
    </row>
    <row r="5">
      <c r="A5" s="2" t="n">
        <v>45658</v>
      </c>
      <c r="B5" t="inlineStr">
        <is>
          <t>South</t>
        </is>
      </c>
      <c r="C5" t="n">
        <v>19952</v>
      </c>
    </row>
    <row r="6">
      <c r="A6" s="2" t="n">
        <v>45689</v>
      </c>
      <c r="B6" t="inlineStr">
        <is>
          <t>East</t>
        </is>
      </c>
      <c r="C6" t="n">
        <v>29635</v>
      </c>
    </row>
    <row r="7">
      <c r="A7" s="2" t="n">
        <v>45689</v>
      </c>
      <c r="B7" t="inlineStr">
        <is>
          <t>West</t>
        </is>
      </c>
      <c r="C7" t="n">
        <v>27116</v>
      </c>
    </row>
    <row r="8">
      <c r="A8" s="2" t="n">
        <v>45689</v>
      </c>
      <c r="B8" t="inlineStr">
        <is>
          <t>North</t>
        </is>
      </c>
      <c r="C8" t="n">
        <v>20747</v>
      </c>
    </row>
    <row r="9">
      <c r="A9" s="2" t="n">
        <v>45689</v>
      </c>
      <c r="B9" t="inlineStr">
        <is>
          <t>South</t>
        </is>
      </c>
      <c r="C9" t="n">
        <v>23560</v>
      </c>
    </row>
    <row r="10">
      <c r="A10" s="2" t="n">
        <v>45717</v>
      </c>
      <c r="B10" t="inlineStr">
        <is>
          <t>East</t>
        </is>
      </c>
      <c r="C10" t="n">
        <v>22739</v>
      </c>
    </row>
    <row r="11">
      <c r="A11" s="2" t="n">
        <v>45717</v>
      </c>
      <c r="B11" t="inlineStr">
        <is>
          <t>West</t>
        </is>
      </c>
      <c r="C11" t="n">
        <v>30889</v>
      </c>
    </row>
    <row r="12">
      <c r="A12" s="2" t="n">
        <v>45717</v>
      </c>
      <c r="B12" t="inlineStr">
        <is>
          <t>North</t>
        </is>
      </c>
      <c r="C12" t="n">
        <v>20924</v>
      </c>
    </row>
    <row r="13">
      <c r="A13" s="2" t="n">
        <v>45717</v>
      </c>
      <c r="B13" t="inlineStr">
        <is>
          <t>South</t>
        </is>
      </c>
      <c r="C13" t="n">
        <v>32281</v>
      </c>
    </row>
    <row r="14">
      <c r="A14" s="2" t="n">
        <v>45748</v>
      </c>
      <c r="B14" t="inlineStr">
        <is>
          <t>East</t>
        </is>
      </c>
      <c r="C14" t="n">
        <v>16084</v>
      </c>
    </row>
    <row r="15">
      <c r="A15" s="2" t="n">
        <v>45748</v>
      </c>
      <c r="B15" t="inlineStr">
        <is>
          <t>West</t>
        </is>
      </c>
      <c r="C15" t="n">
        <v>26234</v>
      </c>
    </row>
    <row r="16">
      <c r="A16" s="2" t="n">
        <v>45748</v>
      </c>
      <c r="B16" t="inlineStr">
        <is>
          <t>North</t>
        </is>
      </c>
      <c r="C16" t="n">
        <v>17765</v>
      </c>
    </row>
    <row r="17">
      <c r="A17" s="2" t="n">
        <v>45748</v>
      </c>
      <c r="B17" t="inlineStr">
        <is>
          <t>South</t>
        </is>
      </c>
      <c r="C17" t="n">
        <v>19753</v>
      </c>
    </row>
    <row r="18">
      <c r="A18" s="2" t="n">
        <v>45778</v>
      </c>
      <c r="B18" t="inlineStr">
        <is>
          <t>East</t>
        </is>
      </c>
      <c r="C18" t="n">
        <v>34514</v>
      </c>
    </row>
    <row r="19">
      <c r="A19" s="2" t="n">
        <v>45778</v>
      </c>
      <c r="B19" t="inlineStr">
        <is>
          <t>West</t>
        </is>
      </c>
      <c r="C19" t="n">
        <v>20051</v>
      </c>
    </row>
    <row r="20">
      <c r="A20" s="2" t="n">
        <v>45778</v>
      </c>
      <c r="B20" t="inlineStr">
        <is>
          <t>North</t>
        </is>
      </c>
      <c r="C20" t="n">
        <v>31251</v>
      </c>
    </row>
    <row r="21">
      <c r="A21" s="2" t="n">
        <v>45778</v>
      </c>
      <c r="B21" t="inlineStr">
        <is>
          <t>South</t>
        </is>
      </c>
      <c r="C21" t="n">
        <v>28531</v>
      </c>
    </row>
    <row r="22">
      <c r="A22" s="2" t="n">
        <v>45809</v>
      </c>
      <c r="B22" t="inlineStr">
        <is>
          <t>East</t>
        </is>
      </c>
      <c r="C22" t="n">
        <v>27555</v>
      </c>
    </row>
    <row r="23">
      <c r="A23" s="2" t="n">
        <v>45809</v>
      </c>
      <c r="B23" t="inlineStr">
        <is>
          <t>West</t>
        </is>
      </c>
      <c r="C23" t="n">
        <v>22797</v>
      </c>
    </row>
    <row r="24">
      <c r="A24" s="2" t="n">
        <v>45809</v>
      </c>
      <c r="B24" t="inlineStr">
        <is>
          <t>North</t>
        </is>
      </c>
      <c r="C24" t="n">
        <v>29423</v>
      </c>
    </row>
    <row r="25">
      <c r="A25" s="2" t="n">
        <v>45809</v>
      </c>
      <c r="B25" t="inlineStr">
        <is>
          <t>South</t>
        </is>
      </c>
      <c r="C25" t="n">
        <v>20481</v>
      </c>
    </row>
    <row r="26">
      <c r="A26" s="2" t="n">
        <v>45839</v>
      </c>
      <c r="B26" t="inlineStr">
        <is>
          <t>East</t>
        </is>
      </c>
      <c r="C26" t="n">
        <v>21909</v>
      </c>
    </row>
    <row r="27">
      <c r="A27" s="2" t="n">
        <v>45839</v>
      </c>
      <c r="B27" t="inlineStr">
        <is>
          <t>West</t>
        </is>
      </c>
      <c r="C27" t="n">
        <v>33931</v>
      </c>
    </row>
    <row r="28">
      <c r="A28" s="2" t="n">
        <v>45839</v>
      </c>
      <c r="B28" t="inlineStr">
        <is>
          <t>North</t>
        </is>
      </c>
      <c r="C28" t="n">
        <v>26307</v>
      </c>
    </row>
    <row r="29">
      <c r="A29" s="2" t="n">
        <v>45839</v>
      </c>
      <c r="B29" t="inlineStr">
        <is>
          <t>South</t>
        </is>
      </c>
      <c r="C29" t="n">
        <v>16780</v>
      </c>
    </row>
    <row r="30">
      <c r="A30" s="2" t="n">
        <v>45870</v>
      </c>
      <c r="B30" t="inlineStr">
        <is>
          <t>East</t>
        </is>
      </c>
      <c r="C30" t="n">
        <v>23663</v>
      </c>
    </row>
    <row r="31">
      <c r="A31" s="2" t="n">
        <v>45870</v>
      </c>
      <c r="B31" t="inlineStr">
        <is>
          <t>West</t>
        </is>
      </c>
      <c r="C31" t="n">
        <v>18800</v>
      </c>
    </row>
    <row r="32">
      <c r="A32" s="2" t="n">
        <v>45870</v>
      </c>
      <c r="B32" t="inlineStr">
        <is>
          <t>North</t>
        </is>
      </c>
      <c r="C32" t="n">
        <v>16721</v>
      </c>
    </row>
    <row r="33">
      <c r="A33" s="2" t="n">
        <v>45870</v>
      </c>
      <c r="B33" t="inlineStr">
        <is>
          <t>South</t>
        </is>
      </c>
      <c r="C33" t="n">
        <v>20491</v>
      </c>
    </row>
    <row r="34">
      <c r="A34" s="2" t="n">
        <v>45901</v>
      </c>
      <c r="B34" t="inlineStr">
        <is>
          <t>East</t>
        </is>
      </c>
      <c r="C34" t="n">
        <v>30204</v>
      </c>
    </row>
    <row r="35">
      <c r="A35" s="2" t="n">
        <v>45901</v>
      </c>
      <c r="B35" t="inlineStr">
        <is>
          <t>West</t>
        </is>
      </c>
      <c r="C35" t="n">
        <v>28066</v>
      </c>
    </row>
    <row r="36">
      <c r="A36" s="2" t="n">
        <v>45901</v>
      </c>
      <c r="B36" t="inlineStr">
        <is>
          <t>North</t>
        </is>
      </c>
      <c r="C36" t="n">
        <v>30605</v>
      </c>
    </row>
    <row r="37">
      <c r="A37" s="2" t="n">
        <v>45901</v>
      </c>
      <c r="B37" t="inlineStr">
        <is>
          <t>South</t>
        </is>
      </c>
      <c r="C37" t="n">
        <v>24875</v>
      </c>
    </row>
    <row r="38">
      <c r="A38" s="2" t="n">
        <v>45931</v>
      </c>
      <c r="B38" t="inlineStr">
        <is>
          <t>East</t>
        </is>
      </c>
      <c r="C38" t="n">
        <v>30606</v>
      </c>
    </row>
    <row r="39">
      <c r="A39" s="2" t="n">
        <v>45931</v>
      </c>
      <c r="B39" t="inlineStr">
        <is>
          <t>West</t>
        </is>
      </c>
      <c r="C39" t="n">
        <v>32449</v>
      </c>
    </row>
    <row r="40">
      <c r="A40" s="2" t="n">
        <v>45931</v>
      </c>
      <c r="B40" t="inlineStr">
        <is>
          <t>North</t>
        </is>
      </c>
      <c r="C40" t="n">
        <v>22656</v>
      </c>
    </row>
    <row r="41">
      <c r="A41" s="2" t="n">
        <v>45931</v>
      </c>
      <c r="B41" t="inlineStr">
        <is>
          <t>South</t>
        </is>
      </c>
      <c r="C41" t="n">
        <v>27445</v>
      </c>
    </row>
    <row r="42">
      <c r="A42" s="2" t="n">
        <v>45962</v>
      </c>
      <c r="B42" t="inlineStr">
        <is>
          <t>East</t>
        </is>
      </c>
      <c r="C42" t="n">
        <v>27781</v>
      </c>
    </row>
    <row r="43">
      <c r="A43" s="2" t="n">
        <v>45962</v>
      </c>
      <c r="B43" t="inlineStr">
        <is>
          <t>West</t>
        </is>
      </c>
      <c r="C43" t="n">
        <v>30551</v>
      </c>
    </row>
    <row r="44">
      <c r="A44" s="2" t="n">
        <v>45962</v>
      </c>
      <c r="B44" t="inlineStr">
        <is>
          <t>North</t>
        </is>
      </c>
      <c r="C44" t="n">
        <v>23605</v>
      </c>
    </row>
    <row r="45">
      <c r="A45" s="2" t="n">
        <v>45962</v>
      </c>
      <c r="B45" t="inlineStr">
        <is>
          <t>South</t>
        </is>
      </c>
      <c r="C45" t="n">
        <v>19756</v>
      </c>
    </row>
    <row r="46">
      <c r="A46" s="2" t="n">
        <v>45992</v>
      </c>
      <c r="B46" t="inlineStr">
        <is>
          <t>East</t>
        </is>
      </c>
      <c r="C46" t="n">
        <v>32381</v>
      </c>
    </row>
    <row r="47">
      <c r="A47" s="2" t="n">
        <v>45992</v>
      </c>
      <c r="B47" t="inlineStr">
        <is>
          <t>West</t>
        </is>
      </c>
      <c r="C47" t="n">
        <v>29245</v>
      </c>
    </row>
    <row r="48">
      <c r="A48" s="2" t="n">
        <v>45992</v>
      </c>
      <c r="B48" t="inlineStr">
        <is>
          <t>North</t>
        </is>
      </c>
      <c r="C48" t="n">
        <v>15388</v>
      </c>
    </row>
    <row r="49">
      <c r="A49" s="2" t="n">
        <v>45992</v>
      </c>
      <c r="B49" t="inlineStr">
        <is>
          <t>South</t>
        </is>
      </c>
      <c r="C49" t="n">
        <v>24463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13" customWidth="1" min="4" max="4"/>
    <col width="22" customWidth="1" min="5" max="5"/>
    <col width="12" customWidth="1" min="6" max="6"/>
  </cols>
  <sheetData>
    <row r="1">
      <c r="A1" s="1" t="inlineStr">
        <is>
          <t>RawName</t>
        </is>
      </c>
      <c r="B1" s="1" t="inlineStr">
        <is>
          <t>RawPhone</t>
        </is>
      </c>
      <c r="C1" s="1" t="inlineStr">
        <is>
          <t>RawAddress</t>
        </is>
      </c>
      <c r="D1" s="1" t="inlineStr">
        <is>
          <t>RawCategory</t>
        </is>
      </c>
      <c r="E1" s="1" t="inlineStr">
        <is>
          <t>RawEmail</t>
        </is>
      </c>
      <c r="F1" s="1" t="inlineStr">
        <is>
          <t>RawCode</t>
        </is>
      </c>
    </row>
    <row r="2">
      <c r="A2" t="inlineStr">
        <is>
          <t xml:space="preserve">  rAhUl   shaH </t>
        </is>
      </c>
      <c r="B2" t="inlineStr">
        <is>
          <t xml:space="preserve"> 98765-43210 </t>
        </is>
      </c>
      <c r="C2" t="inlineStr">
        <is>
          <t>12, MG ROAD, AHMEDABAD</t>
        </is>
      </c>
      <c r="D2" t="inlineStr">
        <is>
          <t xml:space="preserve"> mobile </t>
        </is>
      </c>
      <c r="E2" t="inlineStr">
        <is>
          <t xml:space="preserve"> RAHUL@EXAMPLE.COM </t>
        </is>
      </c>
      <c r="F2" t="inlineStr">
        <is>
          <t>TX-2345</t>
        </is>
      </c>
    </row>
    <row r="3">
      <c r="A3" t="inlineStr">
        <is>
          <t>PRIYA patel</t>
        </is>
      </c>
      <c r="B3" t="inlineStr">
        <is>
          <t>9876543210</t>
        </is>
      </c>
      <c r="C3" t="inlineStr">
        <is>
          <t>12 MG ROAD AHMEDABAD</t>
        </is>
      </c>
      <c r="D3" t="inlineStr">
        <is>
          <t>MOBILE</t>
        </is>
      </c>
      <c r="E3" t="inlineStr">
        <is>
          <t xml:space="preserve">priya@example.com </t>
        </is>
      </c>
      <c r="F3" t="inlineStr">
        <is>
          <t>CA-8877</t>
        </is>
      </c>
    </row>
    <row r="4">
      <c r="A4" t="inlineStr">
        <is>
          <t xml:space="preserve"> Neha  Joshi</t>
        </is>
      </c>
      <c r="B4" t="inlineStr">
        <is>
          <t>98765 43210</t>
        </is>
      </c>
      <c r="C4" t="inlineStr">
        <is>
          <t>45, Ring Road, Surat</t>
        </is>
      </c>
      <c r="D4" t="inlineStr">
        <is>
          <t xml:space="preserve"> laptop </t>
        </is>
      </c>
      <c r="E4" t="inlineStr">
        <is>
          <t xml:space="preserve"> NEHA @ EXAMPLE.COM </t>
        </is>
      </c>
      <c r="F4" t="inlineStr">
        <is>
          <t>IN-1122</t>
        </is>
      </c>
    </row>
    <row r="5">
      <c r="A5" t="inlineStr">
        <is>
          <t xml:space="preserve">john smith </t>
        </is>
      </c>
      <c r="B5" t="inlineStr">
        <is>
          <t>+91 9876543210</t>
        </is>
      </c>
      <c r="C5" t="inlineStr">
        <is>
          <t>78 MAIN STREET, BARODA</t>
        </is>
      </c>
      <c r="D5" t="inlineStr">
        <is>
          <t>LAPTOP</t>
        </is>
      </c>
      <c r="E5" t="inlineStr">
        <is>
          <t xml:space="preserve"> john@example.com</t>
        </is>
      </c>
      <c r="F5" t="inlineStr">
        <is>
          <t>US-5566</t>
        </is>
      </c>
    </row>
    <row r="6">
      <c r="A6" t="inlineStr">
        <is>
          <t>sARA khan</t>
        </is>
      </c>
      <c r="B6" t="inlineStr">
        <is>
          <t>98765-00000</t>
        </is>
      </c>
      <c r="C6" t="inlineStr">
        <is>
          <t>9 lake view, ahmedabad</t>
        </is>
      </c>
      <c r="D6" t="inlineStr">
        <is>
          <t xml:space="preserve"> audio </t>
        </is>
      </c>
      <c r="E6" t="inlineStr">
        <is>
          <t>sara@example.com</t>
        </is>
      </c>
      <c r="F6" t="inlineStr">
        <is>
          <t>TX-9999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Topic</t>
        </is>
      </c>
      <c r="B1" s="1" t="inlineStr">
        <is>
          <t>Task</t>
        </is>
      </c>
      <c r="C1" s="1" t="inlineStr">
        <is>
          <t>Hint</t>
        </is>
      </c>
    </row>
    <row r="2">
      <c r="A2" t="inlineStr">
        <is>
          <t>Level 1 - Navigation &amp; References</t>
        </is>
      </c>
      <c r="B2" t="inlineStr">
        <is>
          <t>Convert Sales_Raw range to an Excel Table. Freeze the header row. Practice A1 and R1C1 reference styles.</t>
        </is>
      </c>
      <c r="C2" t="inlineStr">
        <is>
          <t>Use View &gt; Freeze Panes and Ctrl+T.</t>
        </is>
      </c>
    </row>
    <row r="3">
      <c r="A3" t="inlineStr">
        <is>
          <t>References</t>
        </is>
      </c>
      <c r="B3" t="inlineStr">
        <is>
          <t>In a new column calculate Gross Sales = Units*UnitPrice. Then calculate Net Sales using Discount. Use relative references correctly.</t>
        </is>
      </c>
      <c r="C3" t="inlineStr">
        <is>
          <t>Gross = Units*UnitPrice; Net = Gross*(1-Discount).</t>
        </is>
      </c>
    </row>
    <row r="4">
      <c r="A4" t="inlineStr">
        <is>
          <t>Absolute / Mixed</t>
        </is>
      </c>
      <c r="B4" t="inlineStr">
        <is>
          <t>Put tax rate 18% in B1 and calculate tax for every order. Use an absolute reference for the tax rate.</t>
        </is>
      </c>
      <c r="C4" t="inlineStr">
        <is>
          <t>Reference B1 as $B$1.</t>
        </is>
      </c>
    </row>
    <row r="5">
      <c r="A5" t="inlineStr">
        <is>
          <t>Named Ranges</t>
        </is>
      </c>
      <c r="B5" t="inlineStr">
        <is>
          <t>Create named ranges for Product_Master ProductID and UnitPrice. Use the names in a lookup formula.</t>
        </is>
      </c>
      <c r="C5" t="inlineStr">
        <is>
          <t>Formulas &gt; Name Manager.</t>
        </is>
      </c>
    </row>
    <row r="6">
      <c r="A6" t="inlineStr">
        <is>
          <t>Data Validation</t>
        </is>
      </c>
      <c r="B6" t="inlineStr">
        <is>
          <t>Create a dropdown for Region containing East, West, North, South. Create number validation for Rating 1-5.</t>
        </is>
      </c>
      <c r="C6" t="inlineStr">
        <is>
          <t>Data &gt; Data Validation.</t>
        </is>
      </c>
    </row>
    <row r="7">
      <c r="A7" t="inlineStr">
        <is>
          <t>Sorting</t>
        </is>
      </c>
      <c r="B7" t="inlineStr">
        <is>
          <t>Sort by Region, then Category, then Sales descending.</t>
        </is>
      </c>
      <c r="C7" t="inlineStr">
        <is>
          <t>Use multi-level Sort.</t>
        </is>
      </c>
    </row>
    <row r="8">
      <c r="A8" t="inlineStr">
        <is>
          <t>Filtering</t>
        </is>
      </c>
      <c r="B8" t="inlineStr">
        <is>
          <t>Filter Sales &gt; 5000 AND Region = East. Then filter Category = Mobile OR Laptop.</t>
        </is>
      </c>
      <c r="C8" t="inlineStr">
        <is>
          <t>Use AutoFilter; OR can be handled with multiple criteria/Advanced Filter.</t>
        </is>
      </c>
    </row>
    <row r="9">
      <c r="A9" t="inlineStr">
        <is>
          <t>Advanced Filter</t>
        </is>
      </c>
      <c r="B9" t="inlineStr">
        <is>
          <t>Create a criteria range for Region=West AND Sales&gt;5000 and copy results to another location.</t>
        </is>
      </c>
      <c r="C9" t="inlineStr">
        <is>
          <t>Use Data &gt; Advanced.</t>
        </is>
      </c>
    </row>
    <row r="10">
      <c r="A10" t="inlineStr">
        <is>
          <t>Text</t>
        </is>
      </c>
      <c r="B10" t="inlineStr">
        <is>
          <t>Extract first 3 characters of ProductID; last 2 characters of State Code like TX-2345; extract product category from ProductName if applicable.</t>
        </is>
      </c>
      <c r="C10" t="inlineStr">
        <is>
          <t>Use LEFT, RIGHT, MID, LEN.</t>
        </is>
      </c>
    </row>
    <row r="11">
      <c r="A11" t="inlineStr">
        <is>
          <t>Text Cleaning</t>
        </is>
      </c>
      <c r="B11" t="inlineStr">
        <is>
          <t>Clean CustomerName by removing extra spaces and standardizing case.</t>
        </is>
      </c>
      <c r="C11">
        <f>PROPER(TRIM(F2))</f>
        <v/>
      </c>
    </row>
    <row r="12">
      <c r="A12" t="inlineStr">
        <is>
          <t>Cleaning</t>
        </is>
      </c>
      <c r="B12" t="inlineStr">
        <is>
          <t>Remove non-printing characters and replace double spaces/selected characters where needed.</t>
        </is>
      </c>
      <c r="C12" t="inlineStr">
        <is>
          <t>Use CLEAN, SUBSTITUTE.</t>
        </is>
      </c>
    </row>
    <row r="13">
      <c r="A13" t="inlineStr">
        <is>
          <t>Dates</t>
        </is>
      </c>
      <c r="B13" t="inlineStr">
        <is>
          <t>Create Order Month, Order Year, Delivery Days, and Working Days from OrderDate to DeliveryDate.</t>
        </is>
      </c>
      <c r="C13" t="inlineStr">
        <is>
          <t>DAY, MONTH, YEAR, NETWORKDAYS.</t>
        </is>
      </c>
    </row>
    <row r="14">
      <c r="A14" t="inlineStr">
        <is>
          <t>Date calculations</t>
        </is>
      </c>
      <c r="B14" t="inlineStr">
        <is>
          <t>Calculate employee tenure from HireDate to TODAY(), and month-end date for each order month.</t>
        </is>
      </c>
      <c r="C14" t="inlineStr">
        <is>
          <t>DATEDIF and EOMONTH.</t>
        </is>
      </c>
    </row>
    <row r="15">
      <c r="A15" t="inlineStr">
        <is>
          <t>Logical</t>
        </is>
      </c>
      <c r="B15" t="inlineStr">
        <is>
          <t>Create Performance: Above Target / Below Target based on Sales vs Target.</t>
        </is>
      </c>
      <c r="C15">
        <f>IF(Sales&gt;Target,"Above Target","Below Target")</f>
        <v/>
      </c>
    </row>
    <row r="16">
      <c r="A16" t="inlineStr">
        <is>
          <t>Logical</t>
        </is>
      </c>
      <c r="B16" t="inlineStr">
        <is>
          <t>Create a 5-grade rating based on Rating: 5=A, 4=B, 3=C, 2=D, 1=E. Use nested IF and/or IFS if available.</t>
        </is>
      </c>
      <c r="C16" t="inlineStr">
        <is>
          <t>Nested IF.</t>
        </is>
      </c>
    </row>
    <row r="17">
      <c r="A17" t="inlineStr">
        <is>
          <t>AND/OR/XOR</t>
        </is>
      </c>
      <c r="B17" t="inlineStr">
        <is>
          <t>Flag orders that are (Sales&gt;5000 AND Discount&lt;=10%) OR Category=Mobile. Create a separate XOR example for two boolean conditions.</t>
        </is>
      </c>
      <c r="C17" t="inlineStr">
        <is>
          <t>Use AND, OR, XOR.</t>
        </is>
      </c>
    </row>
    <row r="18">
      <c r="A18" t="inlineStr">
        <is>
          <t>IFERROR</t>
        </is>
      </c>
      <c r="B18" t="inlineStr">
        <is>
          <t>Create a safe lookup that returns "Not Found" instead of an error.</t>
        </is>
      </c>
      <c r="C18" t="inlineStr">
        <is>
          <t>Wrap lookup in IFERROR.</t>
        </is>
      </c>
    </row>
    <row r="19">
      <c r="A19" t="inlineStr">
        <is>
          <t>VLOOKUP exact</t>
        </is>
      </c>
      <c r="B19" t="inlineStr">
        <is>
          <t>Using Product_Master, return ProductName and UnitPrice from ProductID.</t>
        </is>
      </c>
      <c r="C19">
        <f>VLOOKUP(H2,Product_Master!$A$2:$F$13,2,FALSE)</f>
        <v/>
      </c>
    </row>
    <row r="20">
      <c r="A20" t="inlineStr">
        <is>
          <t>VLOOKUP approximate</t>
        </is>
      </c>
      <c r="B20" t="inlineStr">
        <is>
          <t>Create a small commission-rate table by sales amount and use approximate VLOOKUP to assign a rate.</t>
        </is>
      </c>
      <c r="C20" t="inlineStr">
        <is>
          <t>Sort thresholds ascending; use TRUE.</t>
        </is>
      </c>
    </row>
    <row r="21">
      <c r="A21" t="inlineStr">
        <is>
          <t>HLOOKUP</t>
        </is>
      </c>
      <c r="B21" t="inlineStr">
        <is>
          <t>Make a horizontal lookup table of Region targets and retrieve the target for a selected Region.</t>
        </is>
      </c>
      <c r="C21" t="inlineStr">
        <is>
          <t>Use HLOOKUP exact match.</t>
        </is>
      </c>
    </row>
    <row r="22">
      <c r="A22" t="inlineStr">
        <is>
          <t>XLOOKUP</t>
        </is>
      </c>
      <c r="B22" t="inlineStr">
        <is>
          <t>Return ProductName, Brand, and Supplier from ProductID. Test a missing ProductID with a custom not-found message.</t>
        </is>
      </c>
      <c r="C22">
        <f>XLOOKUP(H2,Product_Master!A:A,Product_Master!B:B,"Not Found")</f>
        <v/>
      </c>
    </row>
    <row r="23">
      <c r="A23" t="inlineStr">
        <is>
          <t>Reverse XLOOKUP</t>
        </is>
      </c>
      <c r="B23" t="inlineStr">
        <is>
          <t>For a selected CustomerName, return the last matching OrderID. Use search mode -1.</t>
        </is>
      </c>
      <c r="C23" t="inlineStr">
        <is>
          <t>XLOOKUP(...,,-1)</t>
        </is>
      </c>
    </row>
    <row r="24">
      <c r="A24" t="inlineStr">
        <is>
          <t>INDEX MATCH</t>
        </is>
      </c>
      <c r="B24" t="inlineStr">
        <is>
          <t>Return UnitPrice for a selected ProductID using INDEX + MATCH.</t>
        </is>
      </c>
      <c r="C24">
        <f>INDEX(Product_Master!E:E,MATCH(A2,Product_Master!A:A,0))</f>
        <v/>
      </c>
    </row>
    <row r="25">
      <c r="A25" t="inlineStr">
        <is>
          <t>Two-way INDEX MATCH</t>
        </is>
      </c>
      <c r="B25" t="inlineStr">
        <is>
          <t>Build a small Region x Month sales summary and return the intersection for West + March.</t>
        </is>
      </c>
      <c r="C25" t="inlineStr">
        <is>
          <t>INDEX with two MATCH functions.</t>
        </is>
      </c>
    </row>
    <row r="26">
      <c r="A26" t="inlineStr">
        <is>
          <t>Conditional Formatting</t>
        </is>
      </c>
      <c r="B26" t="inlineStr">
        <is>
          <t>Highlight duplicate OrderIDs, Sales above Target, top 10 Sales, and low Ratings &lt;=2.</t>
        </is>
      </c>
      <c r="C26" t="inlineStr">
        <is>
          <t>Use Duplicate Values, formula rules, Top/Bottom Rules, icon sets.</t>
        </is>
      </c>
    </row>
    <row r="27">
      <c r="A27" t="inlineStr">
        <is>
          <t>Pivot Basics</t>
        </is>
      </c>
      <c r="B27" t="inlineStr">
        <is>
          <t>Create PivotTables: Sales by Region; Sales by Category; Average Sales by Salesperson; Count of Orders by PaymentMethod.</t>
        </is>
      </c>
      <c r="C27" t="inlineStr">
        <is>
          <t>Rows/Columns/Values.</t>
        </is>
      </c>
    </row>
    <row r="28">
      <c r="A28" t="inlineStr">
        <is>
          <t>Pivot Advanced</t>
        </is>
      </c>
      <c r="B28" t="inlineStr">
        <is>
          <t>Group OrderDate by Month and Quarter. Add slicers for Region and Category. Drill into a high-sales value.</t>
        </is>
      </c>
      <c r="C28" t="inlineStr">
        <is>
          <t>PivotTable Analyze &gt; Group/Slicer.</t>
        </is>
      </c>
    </row>
    <row r="29">
      <c r="A29" t="inlineStr">
        <is>
          <t>Pivot Calculated Field</t>
        </is>
      </c>
      <c r="B29" t="inlineStr">
        <is>
          <t>Create a calculated field for gross margin proxy = Sales - Units*Cost. Add a Cost column from a suitable assumption or Product_Master extension.</t>
        </is>
      </c>
      <c r="C29" t="inlineStr">
        <is>
          <t>Use Calculated Field or helper column.</t>
        </is>
      </c>
    </row>
    <row r="30">
      <c r="A30" t="inlineStr">
        <is>
          <t>PivotCharts</t>
        </is>
      </c>
      <c r="B30" t="inlineStr">
        <is>
          <t>Create Bar, Line, Area, and Pie charts from PivotTables. Add slicers and test interactions.</t>
        </is>
      </c>
      <c r="C30" t="inlineStr">
        <is>
          <t>PivotChart + slicers.</t>
        </is>
      </c>
    </row>
    <row r="31">
      <c r="A31" t="inlineStr">
        <is>
          <t>Data Cleaning</t>
        </is>
      </c>
      <c r="B31" t="inlineStr">
        <is>
          <t>Use Remove Duplicates, Text to Columns, Flash Fill, Find/Replace wildcards, and error checking on Cleaning_Practice.</t>
        </is>
      </c>
      <c r="C31" t="inlineStr">
        <is>
          <t>Work on a copy so raw data stays intact.</t>
        </is>
      </c>
    </row>
    <row r="32">
      <c r="A32" t="inlineStr">
        <is>
          <t>Power Query</t>
        </is>
      </c>
      <c r="B32" t="inlineStr">
        <is>
          <t>Import Sales_Raw into Power Query. Change data types, trim/clean names, remove blank rows, and load the cleaned table.</t>
        </is>
      </c>
      <c r="C32" t="inlineStr">
        <is>
          <t>Data &gt; From Table/Range.</t>
        </is>
      </c>
    </row>
    <row r="33">
      <c r="A33" t="inlineStr">
        <is>
          <t>Power Query Merge</t>
        </is>
      </c>
      <c r="B33" t="inlineStr">
        <is>
          <t>Merge Sales_Raw with Product_Master using ProductID. Expand Brand, Supplier, and UnitPrice.</t>
        </is>
      </c>
      <c r="C33" t="inlineStr">
        <is>
          <t>Merge Queries; Left Outer.</t>
        </is>
      </c>
    </row>
    <row r="34">
      <c r="A34" t="inlineStr">
        <is>
          <t>Power Query Append</t>
        </is>
      </c>
      <c r="B34" t="inlineStr">
        <is>
          <t>Create two small monthly sales tables and append them into one table. Resolve mismatched columns and nulls.</t>
        </is>
      </c>
      <c r="C34" t="inlineStr">
        <is>
          <t>Append Queries.</t>
        </is>
      </c>
    </row>
    <row r="35">
      <c r="A35" t="inlineStr">
        <is>
          <t>Dashboard KPIs</t>
        </is>
      </c>
      <c r="B35" t="inlineStr">
        <is>
          <t>Build KPI cards for Total Sales, Average Order Value, Max Order, Min Order, Order Count, and % Above Target.</t>
        </is>
      </c>
      <c r="C35" t="inlineStr">
        <is>
          <t>Use formulas or Pivot measures.</t>
        </is>
      </c>
    </row>
    <row r="36">
      <c r="A36" t="inlineStr">
        <is>
          <t>Dashboard</t>
        </is>
      </c>
      <c r="B36" t="inlineStr">
        <is>
          <t>Create an executive dashboard with KPI cards, monthly sales trend, region sales, category sales, slicers for Region/Category, and a date timeline.</t>
        </is>
      </c>
      <c r="C36" t="inlineStr">
        <is>
          <t>Use PivotTables + PivotCharts + Slicers + Timeline.</t>
        </is>
      </c>
    </row>
    <row r="37">
      <c r="A37" t="inlineStr">
        <is>
          <t>Final Case Study</t>
        </is>
      </c>
      <c r="B37" t="inlineStr">
        <is>
          <t>Start from Sales_Raw. Clean it, enrich it with Product_Master, create calculated columns, summary tables, PivotTables, PivotCharts, and a one-page dashboard. Write 5 factual insights from your results.</t>
        </is>
      </c>
      <c r="C37" t="inlineStr">
        <is>
          <t>Do not change the raw data; keep a Cleaned_Data sheet.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</cols>
  <sheetData>
    <row r="1">
      <c r="A1" s="1" t="inlineStr">
        <is>
          <t>Task</t>
        </is>
      </c>
      <c r="B1" s="1" t="inlineStr">
        <is>
          <t>Example Answer / Formula</t>
        </is>
      </c>
    </row>
    <row r="2">
      <c r="A2" t="inlineStr">
        <is>
          <t>Gross Sales</t>
        </is>
      </c>
      <c r="B2">
        <f>J2*K2</f>
        <v/>
      </c>
    </row>
    <row r="3">
      <c r="A3" t="inlineStr">
        <is>
          <t>Net Sales</t>
        </is>
      </c>
      <c r="B3">
        <f>J2*K2*(1-L2)</f>
        <v/>
      </c>
    </row>
    <row r="4">
      <c r="A4" t="inlineStr">
        <is>
          <t>Tax with absolute reference</t>
        </is>
      </c>
      <c r="B4">
        <f>M2*$B$1</f>
        <v/>
      </c>
    </row>
    <row r="5">
      <c r="A5" t="inlineStr">
        <is>
          <t>Clean Name</t>
        </is>
      </c>
      <c r="B5">
        <f>PROPER(TRIM(F2))</f>
        <v/>
      </c>
    </row>
    <row r="6">
      <c r="A6" t="inlineStr">
        <is>
          <t>ProductID prefix</t>
        </is>
      </c>
      <c r="B6">
        <f>LEFT(H2,4)</f>
        <v/>
      </c>
    </row>
    <row r="7">
      <c r="A7" t="inlineStr">
        <is>
          <t>Code suffix</t>
        </is>
      </c>
      <c r="B7">
        <f>RIGHT(U2,4) if U2 contains a code like TX-2345</f>
        <v/>
      </c>
    </row>
    <row r="8">
      <c r="A8" t="inlineStr">
        <is>
          <t>Safe lookup</t>
        </is>
      </c>
      <c r="B8">
        <f>IFERROR(XLOOKUP(H2,Product_Master!A:A,Product_Master!B:B),"Not Found")</f>
        <v/>
      </c>
    </row>
    <row r="9">
      <c r="A9" t="inlineStr">
        <is>
          <t>Delivery Days</t>
        </is>
      </c>
      <c r="B9">
        <f>P2-O2</f>
        <v/>
      </c>
    </row>
    <row r="10">
      <c r="A10" t="inlineStr">
        <is>
          <t>Working Days</t>
        </is>
      </c>
      <c r="B10">
        <f>NETWORKDAYS(O2,P2)</f>
        <v/>
      </c>
    </row>
    <row r="11">
      <c r="A11" t="inlineStr">
        <is>
          <t>Order Year</t>
        </is>
      </c>
      <c r="B11">
        <f>YEAR(B2)</f>
        <v/>
      </c>
    </row>
    <row r="12">
      <c r="A12" t="inlineStr">
        <is>
          <t>Order Month</t>
        </is>
      </c>
      <c r="B12">
        <f>MONTH(B2)</f>
        <v/>
      </c>
    </row>
    <row r="13">
      <c r="A13" t="inlineStr">
        <is>
          <t>Month End</t>
        </is>
      </c>
      <c r="B13">
        <f>EOMONTH(B2,0)</f>
        <v/>
      </c>
    </row>
    <row r="14">
      <c r="A14" t="inlineStr">
        <is>
          <t>Performance</t>
        </is>
      </c>
      <c r="B14">
        <f>IF(M2&gt;N2,"Above Target","Below Target")</f>
        <v/>
      </c>
    </row>
    <row r="15">
      <c r="A15" t="inlineStr">
        <is>
          <t>AND condition</t>
        </is>
      </c>
      <c r="B15">
        <f>AND(M2&gt;5000,L2&lt;=10%)</f>
        <v/>
      </c>
    </row>
    <row r="16">
      <c r="A16" t="inlineStr">
        <is>
          <t>OR condition</t>
        </is>
      </c>
      <c r="B16">
        <f>OR(M2&gt;5000,C2="East")</f>
        <v/>
      </c>
    </row>
    <row r="17">
      <c r="A17" t="inlineStr">
        <is>
          <t>XOR condition</t>
        </is>
      </c>
      <c r="B17">
        <f>XOR(C2="East",G2="Mobile")</f>
        <v/>
      </c>
    </row>
    <row r="18">
      <c r="A18" t="inlineStr">
        <is>
          <t>VLOOKUP Product</t>
        </is>
      </c>
      <c r="B18">
        <f>VLOOKUP(H2,Product_Master!$A$2:$F$13,2,FALSE)</f>
        <v/>
      </c>
    </row>
    <row r="19">
      <c r="A19" t="inlineStr">
        <is>
          <t>VLOOKUP Price</t>
        </is>
      </c>
      <c r="B19">
        <f>VLOOKUP(H2,Product_Master!$A$2:$F$13,5,FALSE)</f>
        <v/>
      </c>
    </row>
    <row r="20">
      <c r="A20" t="inlineStr">
        <is>
          <t>XLOOKUP Price</t>
        </is>
      </c>
      <c r="B20">
        <f>XLOOKUP(H2,Product_Master!A:A,Product_Master!E:E,"Not Found")</f>
        <v/>
      </c>
    </row>
    <row r="21">
      <c r="A21" t="inlineStr">
        <is>
          <t>INDEX MATCH Price</t>
        </is>
      </c>
      <c r="B21">
        <f>INDEX(Product_Master!E:E,MATCH(H2,Product_Master!A:A,0))</f>
        <v/>
      </c>
    </row>
    <row r="22">
      <c r="A22" t="inlineStr">
        <is>
          <t>Pivot Sales by Region</t>
        </is>
      </c>
      <c r="B22" t="inlineStr">
        <is>
          <t>Rows=Region; Values=Sales (Sum)</t>
        </is>
      </c>
    </row>
    <row r="23">
      <c r="A23" t="inlineStr">
        <is>
          <t>Pivot Average Salesperson</t>
        </is>
      </c>
      <c r="B23" t="inlineStr">
        <is>
          <t>Rows=Salesperson; Values=Sales (Average)</t>
        </is>
      </c>
    </row>
    <row r="24">
      <c r="A24" t="inlineStr">
        <is>
          <t>Conditional Formatting</t>
        </is>
      </c>
      <c r="B24" t="inlineStr">
        <is>
          <t>Use formula =$M2&gt;$N2 to highlight Sales above Target across the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2026-09-24T04:36:07Z</dcterms:created>
  <dcterms:modified xmlns:dcterms="http://purl.org/dc/terms/" xmlns:xsi="http://www.w3.org/2001/XMLSchema-instance" xsi:type="dcterms:W3CDTF">2026-09-24T04:36:07Z</dcterms:modified>
</cp:coreProperties>
</file>